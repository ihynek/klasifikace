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ymberoun-my.sharepoint.com/personal/hynek_gymberoun_cz/Documents/A_skola_26-27/BIO/CLAUDE/klasifikace/archy/"/>
    </mc:Choice>
  </mc:AlternateContent>
  <xr:revisionPtr revIDLastSave="116" documentId="11_B75CA622968493567F55483E483B9B4A507ABD3B" xr6:coauthVersionLast="47" xr6:coauthVersionMax="47" xr10:uidLastSave="{5A2135B5-4BE4-42D9-B86A-7EC87C00DA15}"/>
  <bookViews>
    <workbookView xWindow="1170" yWindow="540" windowWidth="21600" windowHeight="11835" tabRatio="500" xr2:uid="{00000000-000D-0000-FFFF-FFFF00000000}"/>
  </bookViews>
  <sheets>
    <sheet name="6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AD22" i="1" s="1"/>
  <c r="AE22" i="1" s="1"/>
  <c r="Y22" i="1"/>
  <c r="Z22" i="1" s="1"/>
  <c r="P23" i="1"/>
  <c r="AD23" i="1" s="1"/>
  <c r="AE23" i="1" s="1"/>
  <c r="Y23" i="1"/>
  <c r="Z23" i="1" s="1"/>
  <c r="P24" i="1"/>
  <c r="AD24" i="1" s="1"/>
  <c r="AE24" i="1" s="1"/>
  <c r="Y24" i="1"/>
  <c r="Z24" i="1" s="1"/>
  <c r="P25" i="1"/>
  <c r="Y25" i="1"/>
  <c r="Z25" i="1" s="1"/>
  <c r="P26" i="1"/>
  <c r="AD26" i="1" s="1"/>
  <c r="AE26" i="1" s="1"/>
  <c r="Y26" i="1"/>
  <c r="Z26" i="1" s="1"/>
  <c r="P27" i="1"/>
  <c r="AD27" i="1" s="1"/>
  <c r="AE27" i="1" s="1"/>
  <c r="Y27" i="1"/>
  <c r="Z27" i="1" s="1"/>
  <c r="P61" i="1"/>
  <c r="P60" i="1"/>
  <c r="P59" i="1"/>
  <c r="P58" i="1"/>
  <c r="P57" i="1"/>
  <c r="P56" i="1"/>
  <c r="P55" i="1"/>
  <c r="P54" i="1"/>
  <c r="P53" i="1"/>
  <c r="P52" i="1"/>
  <c r="P51" i="1"/>
  <c r="P50" i="1"/>
  <c r="Y34" i="1"/>
  <c r="P34" i="1"/>
  <c r="Y33" i="1"/>
  <c r="P33" i="1"/>
  <c r="Y32" i="1"/>
  <c r="P32" i="1"/>
  <c r="Z31" i="1"/>
  <c r="Y31" i="1"/>
  <c r="P31" i="1"/>
  <c r="Y30" i="1"/>
  <c r="P30" i="1"/>
  <c r="Y29" i="1"/>
  <c r="P29" i="1"/>
  <c r="Y28" i="1"/>
  <c r="P28" i="1"/>
  <c r="AJ21" i="1"/>
  <c r="Y21" i="1"/>
  <c r="P21" i="1"/>
  <c r="AD21" i="1" s="1"/>
  <c r="AJ20" i="1"/>
  <c r="Y20" i="1"/>
  <c r="P20" i="1"/>
  <c r="AD20" i="1" s="1"/>
  <c r="AJ19" i="1"/>
  <c r="Y19" i="1"/>
  <c r="P19" i="1"/>
  <c r="AD19" i="1" s="1"/>
  <c r="AJ18" i="1"/>
  <c r="Y18" i="1"/>
  <c r="P18" i="1"/>
  <c r="AD18" i="1" s="1"/>
  <c r="AJ17" i="1"/>
  <c r="Y17" i="1"/>
  <c r="P17" i="1"/>
  <c r="AD17" i="1" s="1"/>
  <c r="AJ16" i="1"/>
  <c r="Y16" i="1"/>
  <c r="P16" i="1"/>
  <c r="AD16" i="1" s="1"/>
  <c r="AJ15" i="1"/>
  <c r="Y15" i="1"/>
  <c r="P15" i="1"/>
  <c r="AD15" i="1" s="1"/>
  <c r="AJ14" i="1"/>
  <c r="Y14" i="1"/>
  <c r="P14" i="1"/>
  <c r="AD14" i="1" s="1"/>
  <c r="AJ13" i="1"/>
  <c r="Y13" i="1"/>
  <c r="P13" i="1"/>
  <c r="AD13" i="1" s="1"/>
  <c r="AJ12" i="1"/>
  <c r="Y12" i="1"/>
  <c r="P12" i="1"/>
  <c r="AD12" i="1" s="1"/>
  <c r="AJ11" i="1"/>
  <c r="Y11" i="1"/>
  <c r="P11" i="1"/>
  <c r="AD11" i="1" s="1"/>
  <c r="AJ10" i="1"/>
  <c r="Y10" i="1"/>
  <c r="AA10" i="1" s="1"/>
  <c r="P10" i="1"/>
  <c r="AD10" i="1" s="1"/>
  <c r="AJ9" i="1"/>
  <c r="Y9" i="1"/>
  <c r="P9" i="1"/>
  <c r="AD9" i="1" s="1"/>
  <c r="AJ8" i="1"/>
  <c r="Y8" i="1"/>
  <c r="P8" i="1"/>
  <c r="AD8" i="1" s="1"/>
  <c r="AJ7" i="1"/>
  <c r="Y7" i="1"/>
  <c r="P7" i="1"/>
  <c r="AD7" i="1" s="1"/>
  <c r="AJ6" i="1"/>
  <c r="Y6" i="1"/>
  <c r="P6" i="1"/>
  <c r="AD6" i="1" s="1"/>
  <c r="AJ5" i="1"/>
  <c r="Y5" i="1"/>
  <c r="P5" i="1"/>
  <c r="AD5" i="1" s="1"/>
  <c r="AJ4" i="1"/>
  <c r="Y4" i="1"/>
  <c r="P4" i="1"/>
  <c r="AD4" i="1" s="1"/>
  <c r="AJ3" i="1"/>
  <c r="Y3" i="1"/>
  <c r="P3" i="1"/>
  <c r="AJ2" i="1"/>
  <c r="AH2" i="1"/>
  <c r="Y2" i="1"/>
  <c r="P2" i="1"/>
  <c r="AD2" i="1" s="1"/>
  <c r="AB22" i="1" l="1"/>
  <c r="AB27" i="1"/>
  <c r="AB26" i="1"/>
  <c r="AB25" i="1"/>
  <c r="AB24" i="1"/>
  <c r="AB23" i="1"/>
  <c r="AA27" i="1"/>
  <c r="AC27" i="1" s="1"/>
  <c r="AA26" i="1"/>
  <c r="AC26" i="1" s="1"/>
  <c r="AA25" i="1"/>
  <c r="AA24" i="1"/>
  <c r="AA23" i="1"/>
  <c r="AA22" i="1"/>
  <c r="AA34" i="1"/>
  <c r="Z34" i="1"/>
  <c r="AA33" i="1"/>
  <c r="Z33" i="1"/>
  <c r="AA32" i="1"/>
  <c r="AB31" i="1"/>
  <c r="AA31" i="1"/>
  <c r="AA30" i="1"/>
  <c r="Z30" i="1"/>
  <c r="Z32" i="1"/>
  <c r="AB32" i="1" s="1"/>
  <c r="AA29" i="1"/>
  <c r="Z29" i="1"/>
  <c r="AA28" i="1"/>
  <c r="Z28" i="1"/>
  <c r="AA21" i="1"/>
  <c r="Z21" i="1"/>
  <c r="AA20" i="1"/>
  <c r="Z20" i="1"/>
  <c r="AA19" i="1"/>
  <c r="Z19" i="1"/>
  <c r="AA17" i="1"/>
  <c r="Z17" i="1"/>
  <c r="AA16" i="1"/>
  <c r="Z16" i="1"/>
  <c r="AA11" i="1"/>
  <c r="Z10" i="1"/>
  <c r="AB10" i="1" s="1"/>
  <c r="Z2" i="1"/>
  <c r="AA18" i="1"/>
  <c r="Z18" i="1"/>
  <c r="AB18" i="1" s="1"/>
  <c r="AA15" i="1"/>
  <c r="Z15" i="1"/>
  <c r="AA14" i="1"/>
  <c r="Z14" i="1"/>
  <c r="AA13" i="1"/>
  <c r="Z13" i="1"/>
  <c r="Z11" i="1"/>
  <c r="AA2" i="1"/>
  <c r="AA12" i="1"/>
  <c r="Z12" i="1"/>
  <c r="AA9" i="1"/>
  <c r="Z9" i="1"/>
  <c r="AA8" i="1"/>
  <c r="Z8" i="1"/>
  <c r="AA6" i="1"/>
  <c r="Z6" i="1"/>
  <c r="AA5" i="1"/>
  <c r="Z5" i="1"/>
  <c r="AA3" i="1"/>
  <c r="Z3" i="1"/>
  <c r="AA7" i="1"/>
  <c r="Z7" i="1"/>
  <c r="AA4" i="1"/>
  <c r="Z4" i="1"/>
  <c r="AC22" i="1" l="1"/>
  <c r="AC23" i="1"/>
  <c r="AC24" i="1"/>
  <c r="AC25" i="1"/>
  <c r="AD25" i="1" s="1"/>
  <c r="AE25" i="1" s="1"/>
  <c r="AB34" i="1"/>
  <c r="AC34" i="1" s="1"/>
  <c r="AD34" i="1" s="1"/>
  <c r="AE34" i="1" s="1"/>
  <c r="AB33" i="1"/>
  <c r="AC33" i="1" s="1"/>
  <c r="AD33" i="1" s="1"/>
  <c r="AE33" i="1" s="1"/>
  <c r="AC32" i="1"/>
  <c r="AD32" i="1" s="1"/>
  <c r="AE32" i="1" s="1"/>
  <c r="AB16" i="1"/>
  <c r="AC16" i="1" s="1"/>
  <c r="AE16" i="1" s="1"/>
  <c r="AB14" i="1"/>
  <c r="AC14" i="1" s="1"/>
  <c r="AB13" i="1"/>
  <c r="AC13" i="1" s="1"/>
  <c r="AC10" i="1"/>
  <c r="AE10" i="1" s="1"/>
  <c r="AC18" i="1"/>
  <c r="AE18" i="1" s="1"/>
  <c r="AB12" i="1"/>
  <c r="AC12" i="1" s="1"/>
  <c r="AE12" i="1" s="1"/>
  <c r="AB9" i="1"/>
  <c r="AC9" i="1" s="1"/>
  <c r="AE9" i="1" s="1"/>
  <c r="AB8" i="1"/>
  <c r="AC8" i="1" s="1"/>
  <c r="AE8" i="1" s="1"/>
  <c r="AB7" i="1"/>
  <c r="AC7" i="1" s="1"/>
  <c r="AE7" i="1" s="1"/>
  <c r="AB6" i="1"/>
  <c r="AC6" i="1" s="1"/>
  <c r="AE6" i="1" s="1"/>
  <c r="AB5" i="1"/>
  <c r="AC5" i="1" s="1"/>
  <c r="AE5" i="1" s="1"/>
  <c r="AB3" i="1"/>
  <c r="AC3" i="1" s="1"/>
  <c r="AD3" i="1" s="1"/>
  <c r="AE3" i="1" s="1"/>
  <c r="AB4" i="1"/>
  <c r="AC4" i="1" s="1"/>
  <c r="AE4" i="1" s="1"/>
  <c r="AC31" i="1"/>
  <c r="AD31" i="1" s="1"/>
  <c r="AE31" i="1" s="1"/>
  <c r="AB29" i="1"/>
  <c r="AC29" i="1" s="1"/>
  <c r="AD29" i="1" s="1"/>
  <c r="AE29" i="1" s="1"/>
  <c r="AB28" i="1"/>
  <c r="AC28" i="1" s="1"/>
  <c r="AD28" i="1" s="1"/>
  <c r="AE28" i="1" s="1"/>
  <c r="AB21" i="1"/>
  <c r="AC21" i="1" s="1"/>
  <c r="AE21" i="1" s="1"/>
  <c r="AB20" i="1"/>
  <c r="AC20" i="1" s="1"/>
  <c r="AE20" i="1" s="1"/>
  <c r="AB11" i="1"/>
  <c r="AC11" i="1" s="1"/>
  <c r="AE11" i="1" s="1"/>
  <c r="AB30" i="1"/>
  <c r="AC30" i="1" s="1"/>
  <c r="AD30" i="1" s="1"/>
  <c r="AE30" i="1" s="1"/>
  <c r="AB19" i="1"/>
  <c r="AC19" i="1" s="1"/>
  <c r="AE19" i="1" s="1"/>
  <c r="AB17" i="1"/>
  <c r="AC17" i="1" s="1"/>
  <c r="AE17" i="1" s="1"/>
  <c r="AB2" i="1"/>
  <c r="AC2" i="1" s="1"/>
  <c r="AE2" i="1" s="1"/>
  <c r="AB15" i="1"/>
  <c r="AC15" i="1" s="1"/>
  <c r="AE15" i="1" s="1"/>
  <c r="AE13" i="1" l="1"/>
  <c r="AE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Hynek</author>
  </authors>
  <commentList>
    <comment ref="I1" authorId="0" shapeId="0" xr:uid="{62753A53-BE8D-4F32-8A6C-5EF89FD372F0}">
      <text>
        <r>
          <rPr>
            <b/>
            <sz val="11"/>
            <color indexed="81"/>
            <rFont val="Tahoma"/>
            <family val="2"/>
            <charset val="238"/>
          </rPr>
          <t>Ivan Hynek:</t>
        </r>
        <r>
          <rPr>
            <sz val="11"/>
            <color indexed="81"/>
            <rFont val="Tahoma"/>
            <family val="2"/>
            <charset val="238"/>
          </rPr>
          <t xml:space="preserve">
23.9.
Evoluce člověka</t>
        </r>
      </text>
    </comment>
    <comment ref="I26" authorId="0" shapeId="0" xr:uid="{596A8128-23C5-49E1-960C-9CD35DBF6261}">
      <text>
        <r>
          <rPr>
            <b/>
            <sz val="11"/>
            <color indexed="81"/>
            <rFont val="Tahoma"/>
            <family val="2"/>
            <charset val="238"/>
          </rPr>
          <t>Ivan Hynek:</t>
        </r>
        <r>
          <rPr>
            <sz val="11"/>
            <color indexed="81"/>
            <rFont val="Tahoma"/>
            <family val="2"/>
            <charset val="238"/>
          </rPr>
          <t xml:space="preserve">
neodevzdal</t>
        </r>
      </text>
    </comment>
  </commentList>
</comments>
</file>

<file path=xl/sharedStrings.xml><?xml version="1.0" encoding="utf-8"?>
<sst xmlns="http://schemas.openxmlformats.org/spreadsheetml/2006/main" count="127" uniqueCount="125">
  <si>
    <t>Poř. č.</t>
  </si>
  <si>
    <t>Jméno Příjmení</t>
  </si>
  <si>
    <t>VT1</t>
  </si>
  <si>
    <t>VT2</t>
  </si>
  <si>
    <t>VT3</t>
  </si>
  <si>
    <t>VT4</t>
  </si>
  <si>
    <t>VT5</t>
  </si>
  <si>
    <t xml:space="preserve">VT6
</t>
  </si>
  <si>
    <t>MT1</t>
  </si>
  <si>
    <t>MT2</t>
  </si>
  <si>
    <t>MT3</t>
  </si>
  <si>
    <t>MT4</t>
  </si>
  <si>
    <t>MT5</t>
  </si>
  <si>
    <t xml:space="preserve">MT6
</t>
  </si>
  <si>
    <t>LP</t>
  </si>
  <si>
    <t>Vážený
průměr</t>
  </si>
  <si>
    <t>PL1
(%)</t>
  </si>
  <si>
    <t>PL2
(%)</t>
  </si>
  <si>
    <t>PL3
(%)</t>
  </si>
  <si>
    <t>PL4
(%)</t>
  </si>
  <si>
    <t>PL5
(%)</t>
  </si>
  <si>
    <t>PL6
(%)</t>
  </si>
  <si>
    <t>PL7
(%)</t>
  </si>
  <si>
    <t>PL8
(%)</t>
  </si>
  <si>
    <t>Počet
PL</t>
  </si>
  <si>
    <t>%
PL</t>
  </si>
  <si>
    <t>Průměr
bonusů</t>
  </si>
  <si>
    <t>Bonus
75%+</t>
  </si>
  <si>
    <t>Celkový
bonus</t>
  </si>
  <si>
    <t>Finální
průměr</t>
  </si>
  <si>
    <t>ZNÁMKA</t>
  </si>
  <si>
    <t>Email</t>
  </si>
  <si>
    <t>KODY</t>
  </si>
  <si>
    <t>Zadaných
PL</t>
  </si>
  <si>
    <t>PODVOD
(zadej slovem)</t>
  </si>
  <si>
    <t>Podvod
(nálepka)</t>
  </si>
  <si>
    <t>Ivana Denková</t>
  </si>
  <si>
    <t>1747</t>
  </si>
  <si>
    <t>Jakub Dolejš</t>
  </si>
  <si>
    <t>jakub_dolejs@student.gymberoun.cz</t>
  </si>
  <si>
    <t>4333</t>
  </si>
  <si>
    <t>Kryštof Doležal</t>
  </si>
  <si>
    <t>krystof_dolezal@student.gymberoun.cz</t>
  </si>
  <si>
    <t>1497</t>
  </si>
  <si>
    <t>Barbora Gezová</t>
  </si>
  <si>
    <t>barbora_gezova@student.gymberoun.cz</t>
  </si>
  <si>
    <t>3340</t>
  </si>
  <si>
    <t>Jiří Gregůrek</t>
  </si>
  <si>
    <t>jiri_gregurek@student.gymberoun.cz</t>
  </si>
  <si>
    <t>5369</t>
  </si>
  <si>
    <t>Zuzana Hamerníková</t>
  </si>
  <si>
    <t>zuzana_hamernikova@student.gymberoun.cz</t>
  </si>
  <si>
    <t>1187</t>
  </si>
  <si>
    <t>Jiří Hejna</t>
  </si>
  <si>
    <t>jiri_hejna@student.gymberoun.cz</t>
  </si>
  <si>
    <t>8208</t>
  </si>
  <si>
    <t>Štěpán Káš</t>
  </si>
  <si>
    <t>stepan_kas@student.gymberoun.cz</t>
  </si>
  <si>
    <t>3739</t>
  </si>
  <si>
    <t>Anna Kollerová</t>
  </si>
  <si>
    <t>anna_kollerova@student.gymberoun.cz</t>
  </si>
  <si>
    <t>1265</t>
  </si>
  <si>
    <t>Beata Kubalová</t>
  </si>
  <si>
    <t>beata_kubalova@student.gymberoun.cz</t>
  </si>
  <si>
    <t>8186</t>
  </si>
  <si>
    <t>Jolana Kubrychtová</t>
  </si>
  <si>
    <t>jolana_kubrychtova@student.gymberoun.cz</t>
  </si>
  <si>
    <t>5556</t>
  </si>
  <si>
    <t>Aleš Mátl</t>
  </si>
  <si>
    <t>ales_matl@student.gymberoun.cz</t>
  </si>
  <si>
    <t>8199</t>
  </si>
  <si>
    <t>Emma Mulačová</t>
  </si>
  <si>
    <t>emma_mulacova@student.gymberoun.cz</t>
  </si>
  <si>
    <t>8533</t>
  </si>
  <si>
    <t>Teodor Rada</t>
  </si>
  <si>
    <t>teodor_rada@student.gymberoun.cz</t>
  </si>
  <si>
    <t>4798</t>
  </si>
  <si>
    <t>Stella Roztočilová</t>
  </si>
  <si>
    <t>stella_roztocilova@student.gymberoun.cz</t>
  </si>
  <si>
    <t>4159</t>
  </si>
  <si>
    <t>Kristýna Růžičková</t>
  </si>
  <si>
    <t>kristyna_ruzickova@student.gymberoun.cz</t>
  </si>
  <si>
    <t>2983</t>
  </si>
  <si>
    <t>Petr Slimáček</t>
  </si>
  <si>
    <t>petr_slimacek@student.gymberoun.cz</t>
  </si>
  <si>
    <t>5915</t>
  </si>
  <si>
    <t>Ladislav Ťoupalík</t>
  </si>
  <si>
    <t>ladislav_toupalik@student.gymberoun.cz</t>
  </si>
  <si>
    <t>7345</t>
  </si>
  <si>
    <t>Veronika Velebová</t>
  </si>
  <si>
    <t>veronika_velebova@student.gymberoun.cz</t>
  </si>
  <si>
    <t>6749</t>
  </si>
  <si>
    <t>Kryštof Žolko</t>
  </si>
  <si>
    <t>krystof_zolko@student.gymberoun.cz</t>
  </si>
  <si>
    <t>2653</t>
  </si>
  <si>
    <t>LEGENDA A PRAVIDLA:</t>
  </si>
  <si>
    <t>Pokud student neudělal žádné PL:</t>
  </si>
  <si>
    <t>• Celkový bonus = 0</t>
  </si>
  <si>
    <t>• Finální průměr = Vážený průměr (bez bonusů)</t>
  </si>
  <si>
    <t>• Známka se normálně vypočítá</t>
  </si>
  <si>
    <t>Bonusy z praktických listů (hodnotí se jen aktuálně zadané PL):</t>
  </si>
  <si>
    <t>• 90-100%: -0.25</t>
  </si>
  <si>
    <t>• 75-89%: -0.15</t>
  </si>
  <si>
    <t>• 60-74%: -0.1</t>
  </si>
  <si>
    <t>• Výsledky 0 % se nepočítají jako odevzdaná práce</t>
  </si>
  <si>
    <t>Bonus za konzistenci (platí od 3. odevzdané práce):</t>
  </si>
  <si>
    <t>• Odevzdáš ≥75 % zadaných PL → extra -0.15</t>
  </si>
  <si>
    <t>• Do PL buňky napiš "P" = podvod → zobrazuje se jako nálepka, bez dopadu na průměr (do příštího roku)</t>
  </si>
  <si>
    <t>• Příklad: 2× P = -0.4, 3× P = -0.6, 4× P = -0.8, 5× P = -1.0</t>
  </si>
  <si>
    <t>• P se počítá jako odevzdaná práce (vstupuje do jmenovatele konzistenčního bonusu)</t>
  </si>
  <si>
    <t>• P nedává žádný bonus (0 % = žádný příspěvek k průměru bonusů)</t>
  </si>
  <si>
    <t>ivana_denkova@student.gymberoun.cz</t>
  </si>
  <si>
    <t>robin_balas@student.gymberoun.cz</t>
  </si>
  <si>
    <t>martin_patera@student.gymberoun.cz</t>
  </si>
  <si>
    <t>tereza_vylicilova@student.gymberoun.cz</t>
  </si>
  <si>
    <t>marketa_sindlerova@student.gymberoun.cz</t>
  </si>
  <si>
    <t>krystof_juhas@student.gymberoun.cz</t>
  </si>
  <si>
    <t>ondrej_kastner@student.gymberoun.cz</t>
  </si>
  <si>
    <t>Robin Balaš</t>
  </si>
  <si>
    <t>Martin Patera</t>
  </si>
  <si>
    <t>Tereza Vylíčilová</t>
  </si>
  <si>
    <t>Kryštof Juhás</t>
  </si>
  <si>
    <t>Ondřej Kastner</t>
  </si>
  <si>
    <t>N</t>
  </si>
  <si>
    <t>Markéta Šindlerová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</si>
</sst>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  <charset val="238"/>
    </font>
    <font>
      <b/>
      <sz val="10"/>
      <color rgb="FF000000"/>
      <name val="Calibri"/>
      <family val="2"/>
      <charset val="238"/>
    </font>
    <font>
      <b/>
      <sz val="9"/>
      <name val="Calibri"/>
      <family val="2"/>
      <charset val="238"/>
    </font>
    <font>
      <b/>
      <sz val="9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4"/>
      <color rgb="FF9C5700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0"/>
      <name val="Arial"/>
      <charset val="1"/>
    </font>
    <font>
      <b/>
      <sz val="10"/>
      <color rgb="FFFFFFFF"/>
      <name val="Cambria"/>
      <charset val="1"/>
    </font>
    <font>
      <b/>
      <sz val="11"/>
      <name val="Calibri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color rgb="FF00B050"/>
      <name val="Calibri"/>
      <family val="2"/>
      <charset val="238"/>
    </font>
    <font>
      <b/>
      <sz val="10"/>
      <name val="Calibri"/>
      <family val="2"/>
      <charset val="238"/>
    </font>
    <font>
      <b/>
      <sz val="14"/>
      <name val="Calibri"/>
      <family val="2"/>
      <charset val="238"/>
    </font>
    <font>
      <b/>
      <sz val="14"/>
      <color rgb="FFFF0000"/>
      <name val="Calibri"/>
      <family val="2"/>
      <charset val="238"/>
    </font>
    <font>
      <b/>
      <sz val="11"/>
      <name val="Arial"/>
      <charset val="1"/>
    </font>
    <font>
      <sz val="7"/>
      <color rgb="FF3C4043"/>
      <name val="Arial"/>
      <family val="2"/>
      <charset val="238"/>
    </font>
    <font>
      <b/>
      <sz val="12"/>
      <color rgb="FF4472C4"/>
      <name val="Calibri"/>
      <family val="2"/>
      <charset val="238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sz val="11"/>
      <color indexed="81"/>
      <name val="Tahoma"/>
      <family val="2"/>
      <charset val="238"/>
    </font>
    <font>
      <b/>
      <sz val="11"/>
      <color indexed="81"/>
      <name val="Tahoma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C57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rgb="FFB4C7E7"/>
        <bgColor rgb="FF9BC2E6"/>
      </patternFill>
    </fill>
    <fill>
      <patternFill patternType="solid">
        <fgColor rgb="FF9BC2E6"/>
        <bgColor rgb="FFB4C7E7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EB9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1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/>
    <xf numFmtId="2" fontId="10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2" xfId="0" applyBorder="1"/>
    <xf numFmtId="0" fontId="15" fillId="13" borderId="1" xfId="0" applyFont="1" applyFill="1" applyBorder="1" applyAlignment="1">
      <alignment horizontal="center"/>
    </xf>
    <xf numFmtId="0" fontId="16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3" xfId="0" applyFont="1" applyBorder="1"/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9" fontId="19" fillId="0" borderId="0" xfId="0" applyNumberFormat="1" applyFont="1"/>
    <xf numFmtId="0" fontId="17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12" fillId="0" borderId="0" xfId="0" applyFont="1"/>
    <xf numFmtId="0" fontId="22" fillId="0" borderId="1" xfId="0" applyFont="1" applyBorder="1" applyAlignment="1">
      <alignment horizontal="center"/>
    </xf>
    <xf numFmtId="0" fontId="23" fillId="0" borderId="1" xfId="0" applyFont="1" applyBorder="1"/>
  </cellXfs>
  <cellStyles count="1">
    <cellStyle name="Normální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E2EFDA"/>
      <rgbColor rgb="FFFFEB9C"/>
      <rgbColor rgb="FF9BC2E6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3C40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artin_patera@student.gymberoun.cz" TargetMode="External"/><Relationship Id="rId7" Type="http://schemas.openxmlformats.org/officeDocument/2006/relationships/hyperlink" Target="mailto:ondrej_kastner@student.gymberoun.cz" TargetMode="External"/><Relationship Id="rId2" Type="http://schemas.openxmlformats.org/officeDocument/2006/relationships/hyperlink" Target="mailto:robin_balas@student.gymberoun.cz" TargetMode="External"/><Relationship Id="rId1" Type="http://schemas.openxmlformats.org/officeDocument/2006/relationships/hyperlink" Target="mailto:ivana_denkova@student.gymberoun.cz" TargetMode="External"/><Relationship Id="rId6" Type="http://schemas.openxmlformats.org/officeDocument/2006/relationships/hyperlink" Target="mailto:krystof_juhas@student.gymberoun.cz" TargetMode="External"/><Relationship Id="rId5" Type="http://schemas.openxmlformats.org/officeDocument/2006/relationships/hyperlink" Target="mailto:marketa_sindlerova@student.gymberoun.cz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tereza_vylicilova@student.gymberoun.cz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7"/>
  <sheetViews>
    <sheetView tabSelected="1" zoomScaleNormal="100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I33" sqref="I33"/>
    </sheetView>
  </sheetViews>
  <sheetFormatPr defaultColWidth="8.5703125" defaultRowHeight="15" x14ac:dyDescent="0.25"/>
  <cols>
    <col min="1" max="1" width="5.5703125" customWidth="1"/>
    <col min="2" max="2" width="20.85546875" customWidth="1"/>
    <col min="3" max="7" width="3.7109375" customWidth="1"/>
    <col min="8" max="8" width="4.5703125" customWidth="1"/>
    <col min="9" max="13" width="4.140625" customWidth="1"/>
    <col min="14" max="14" width="5.140625" customWidth="1"/>
    <col min="15" max="15" width="4.85546875" customWidth="1"/>
    <col min="17" max="18" width="3.28515625" customWidth="1"/>
    <col min="19" max="19" width="3.85546875" bestFit="1" customWidth="1"/>
    <col min="20" max="20" width="3.85546875" customWidth="1"/>
    <col min="21" max="24" width="3.28515625" customWidth="1"/>
    <col min="25" max="25" width="4.7109375" customWidth="1"/>
    <col min="26" max="26" width="5.5703125" customWidth="1"/>
    <col min="27" max="27" width="6" customWidth="1"/>
    <col min="28" max="28" width="5.140625" customWidth="1"/>
    <col min="29" max="29" width="6.28515625" customWidth="1"/>
    <col min="30" max="30" width="11.140625" bestFit="1" customWidth="1"/>
    <col min="31" max="31" width="8.140625" customWidth="1"/>
    <col min="32" max="32" width="39.42578125" customWidth="1"/>
    <col min="33" max="33" width="10.28515625" hidden="1" customWidth="1"/>
    <col min="34" max="34" width="11.5703125" hidden="1" customWidth="1"/>
    <col min="35" max="35" width="13.28515625" bestFit="1" customWidth="1"/>
  </cols>
  <sheetData>
    <row r="1" spans="1:36" ht="2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5" t="s">
        <v>28</v>
      </c>
      <c r="AD1" s="8" t="s">
        <v>29</v>
      </c>
      <c r="AE1" s="9" t="s">
        <v>30</v>
      </c>
      <c r="AF1" s="10" t="s">
        <v>31</v>
      </c>
      <c r="AG1" s="11" t="s">
        <v>32</v>
      </c>
      <c r="AH1" s="12" t="s">
        <v>33</v>
      </c>
      <c r="AI1" s="13" t="s">
        <v>34</v>
      </c>
      <c r="AJ1" s="13" t="s">
        <v>35</v>
      </c>
    </row>
    <row r="2" spans="1:36" ht="18" customHeight="1" x14ac:dyDescent="0.3">
      <c r="A2" s="14">
        <v>1</v>
      </c>
      <c r="B2" s="15" t="s">
        <v>36</v>
      </c>
      <c r="C2" s="14"/>
      <c r="D2" s="14"/>
      <c r="E2" s="14"/>
      <c r="F2" s="14"/>
      <c r="G2" s="14"/>
      <c r="H2" s="14"/>
      <c r="I2" s="14">
        <v>3</v>
      </c>
      <c r="J2" s="14"/>
      <c r="K2" s="14"/>
      <c r="L2" s="14"/>
      <c r="M2" s="14"/>
      <c r="N2" s="14"/>
      <c r="O2" s="14"/>
      <c r="P2" s="16">
        <f t="shared" ref="P2:P21" si="0">IFERROR((IF(ISNUMBER(C2),C2*3,0)+IF(ISNUMBER(D2),D2*3,0)+IF(ISNUMBER(E2),E2*3,0)+IF(ISNUMBER(F2),F2*3,0)+IF(ISNUMBER(G2),G2*3,0)+IF(ISNUMBER(H2),H2*3,0)+IF(ISNUMBER(I2),I2*2,0)+IF(ISNUMBER(J2),J2*2,0)+IF(ISNUMBER(K2),K2*2,0)+IF(ISNUMBER(L2),L2*2,0)+IF(ISNUMBER(M2),M2*2,0)+IF(ISNUMBER(N2),N2*2,0)+IF(ISNUMBER(O2),O2*1,0))/(IF(ISNUMBER(C2),3,0)+IF(ISNUMBER(D2),3,0)+IF(ISNUMBER(E2),3,0)+IF(ISNUMBER(F2),3,0)+IF(ISNUMBER(G2),3,0)+IF(ISNUMBER(H2),3,0)+IF(ISNUMBER(I2),2,0)+IF(ISNUMBER(J2),2,0)+IF(ISNUMBER(K2),2,0)+IF(ISNUMBER(L2),2,0)+IF(ISNUMBER(M2),2,0)+IF(ISNUMBER(N2),2,0)+IF(ISNUMBER(O2),1,0)),"")</f>
        <v>3</v>
      </c>
      <c r="Q2" s="17"/>
      <c r="R2" s="17"/>
      <c r="S2" s="17"/>
      <c r="T2" s="17"/>
      <c r="U2" s="17"/>
      <c r="V2" s="17"/>
      <c r="W2" s="17"/>
      <c r="X2" s="17"/>
      <c r="Y2" s="18">
        <f t="shared" ref="Y2:Y21" si="1">IF(ISBLANK(B2),"",COUNTIF(Q2:X2,"&gt;0")+IF(UPPER(AI2)="PODVOD",1,IF(ISNUMBER(AI2),AI2,0)))</f>
        <v>0</v>
      </c>
      <c r="Z2" s="19">
        <f t="shared" ref="Z2:Z21" si="2">IF(ISBLANK(B2),"",IF(Y2=0,0,Y2/$AH$2))</f>
        <v>0</v>
      </c>
      <c r="AA2" s="20">
        <f t="shared" ref="AA2:AA21" si="3">IF(ISBLANK(B2),"",IF(Y2&lt;3,0,IF((IF(ISNUMBER(Q2),IF(Q2&gt;=60,1,0),0)+IF(ISNUMBER(R2),IF(R2&gt;=60,1,0),0)+IF(ISNUMBER(S2),IF(S2&gt;=60,1,0),0)+IF(ISNUMBER(T2),IF(T2&gt;=60,1,0),0)+IF(ISNUMBER(U2),IF(U2&gt;=60,1,0),0)+IF(ISNUMBER(V2),IF(V2&gt;=60,1,0),0)+IF(ISNUMBER(W2),IF(W2&gt;=60,1,0),0)+IF(ISNUMBER(X2),IF(X2&gt;=60,1,0),0))&gt;0,(IF(ISNUMBER(Q2),IF(Q2&gt;=90,-0.25,IF(Q2&gt;=75,-0.15,-0.1)),0)+IF(ISNUMBER(R2),IF(R2&gt;=90,-0.25,IF(R2&gt;=75,-0.15,-0.1)),0)+IF(ISNUMBER(S2),IF(S2&gt;=90,-0.25,IF(S2&gt;=75,-0.15,-0.1)),0)+IF(ISNUMBER(T2),IF(T2&gt;=90,-0.25,IF(T2&gt;=75,-0.15,-0.1)),0)+IF(ISNUMBER(U2),IF(U2&gt;=90,-0.25,IF(U2&gt;=75,-0.15,-0.1)),0)+IF(ISNUMBER(V2),IF(V2&gt;=90,-0.25,IF(V2&gt;=75,-0.15,-0.1)),0)+IF(ISNUMBER(W2),IF(W2&gt;=90,-0.25,IF(W2&gt;=75,-0.15,-0.1)),0)+IF(ISNUMBER(X2),IF(X2&gt;=90,-0.25,IF(X2&gt;=75,-0.15,-0.1)),0))/(IF(ISNUMBER(Q2),IF(Q2&gt;=60,1,0),0)+IF(ISNUMBER(R2),IF(R2&gt;=60,1,0),0)+IF(ISNUMBER(S2),IF(S2&gt;=60,1,0),0)+IF(ISNUMBER(T2),IF(T2&gt;=60,1,0),0)+IF(ISNUMBER(U2),IF(U2&gt;=60,1,0),0)+IF(ISNUMBER(V2),IF(V2&gt;=60,1,0),0)+IF(ISNUMBER(W2),IF(W2&gt;=60,1,0),0)+IF(ISNUMBER(X2),IF(X2&gt;=60,1,0),0)),0)))</f>
        <v>0</v>
      </c>
      <c r="AB2" s="21">
        <f t="shared" ref="AB2:AB21" si="4">IF(ISBLANK(B2),"",IF(AND(Y2&gt;=3,Z2&gt;=0.75),-0.15,0))</f>
        <v>0</v>
      </c>
      <c r="AC2" s="22">
        <f t="shared" ref="AC2:AC21" si="5">AA2+AB2+AJ2</f>
        <v>0</v>
      </c>
      <c r="AD2" s="20">
        <f>IF(P2="","",P2+AC2)</f>
        <v>3</v>
      </c>
      <c r="AE2" s="23">
        <f t="shared" ref="AE2:AE21" si="6">IF(ISBLANK(B2),"",IFERROR(IF(ISNUMBER(AD2),IF(AD2&lt;=1.5,1,IF(AD2&lt;=2.5,2,IF(AD2&lt;=3.5,3,IF(AD2&lt;=4.5,4,5)))),""),""))</f>
        <v>3</v>
      </c>
      <c r="AF2" s="24" t="s">
        <v>111</v>
      </c>
      <c r="AG2" s="25" t="s">
        <v>37</v>
      </c>
      <c r="AH2" s="26">
        <f>(COUNT(Q2:Q200)&gt;0)+(COUNT(R2:R200)&gt;0)+(COUNT(S2:S200)&gt;0)+(COUNT(T2:T200)&gt;0)+(COUNT(U2:U200)&gt;0)+(COUNT(V2:V200)&gt;0)+(COUNT(W2:W200)&gt;0)+(COUNT(X2:X200)&gt;0)</f>
        <v>0</v>
      </c>
      <c r="AJ2" s="27">
        <f t="shared" ref="AJ2:AJ21" si="7">COUNTIF(Q2:X2,"P")*0</f>
        <v>0</v>
      </c>
    </row>
    <row r="3" spans="1:36" ht="18" customHeight="1" x14ac:dyDescent="0.3">
      <c r="A3" s="14">
        <v>2</v>
      </c>
      <c r="B3" s="15" t="s">
        <v>38</v>
      </c>
      <c r="C3" s="14"/>
      <c r="D3" s="14"/>
      <c r="E3" s="14"/>
      <c r="F3" s="14"/>
      <c r="G3" s="14"/>
      <c r="H3" s="14"/>
      <c r="I3" s="14">
        <v>3</v>
      </c>
      <c r="J3" s="14"/>
      <c r="K3" s="14"/>
      <c r="L3" s="42"/>
      <c r="M3" s="14"/>
      <c r="N3" s="14"/>
      <c r="O3" s="14"/>
      <c r="P3" s="16">
        <f t="shared" si="0"/>
        <v>3</v>
      </c>
      <c r="Q3" s="17"/>
      <c r="R3" s="17"/>
      <c r="S3" s="17"/>
      <c r="T3" s="17"/>
      <c r="U3" s="17"/>
      <c r="V3" s="17"/>
      <c r="W3" s="17"/>
      <c r="X3" s="17"/>
      <c r="Y3" s="18">
        <f t="shared" si="1"/>
        <v>0</v>
      </c>
      <c r="Z3" s="19">
        <f t="shared" si="2"/>
        <v>0</v>
      </c>
      <c r="AA3" s="20">
        <f t="shared" si="3"/>
        <v>0</v>
      </c>
      <c r="AB3" s="21">
        <f t="shared" si="4"/>
        <v>0</v>
      </c>
      <c r="AC3" s="22">
        <f t="shared" si="5"/>
        <v>0</v>
      </c>
      <c r="AD3" s="20">
        <f t="shared" ref="AD3:AD21" si="8">IF(P3="","",P3+AC3)</f>
        <v>3</v>
      </c>
      <c r="AE3" s="23">
        <f t="shared" si="6"/>
        <v>3</v>
      </c>
      <c r="AF3" s="24" t="s">
        <v>39</v>
      </c>
      <c r="AG3" s="28" t="s">
        <v>40</v>
      </c>
      <c r="AJ3" s="27">
        <f t="shared" si="7"/>
        <v>0</v>
      </c>
    </row>
    <row r="4" spans="1:36" ht="18" customHeight="1" x14ac:dyDescent="0.3">
      <c r="A4" s="14">
        <v>3</v>
      </c>
      <c r="B4" s="15" t="s">
        <v>41</v>
      </c>
      <c r="C4" s="14"/>
      <c r="D4" s="14"/>
      <c r="E4" s="14"/>
      <c r="F4" s="14"/>
      <c r="G4" s="14"/>
      <c r="H4" s="14"/>
      <c r="I4" s="14">
        <v>4</v>
      </c>
      <c r="J4" s="14"/>
      <c r="K4" s="14"/>
      <c r="L4" s="14"/>
      <c r="M4" s="14"/>
      <c r="N4" s="14"/>
      <c r="O4" s="14"/>
      <c r="P4" s="16">
        <f t="shared" si="0"/>
        <v>4</v>
      </c>
      <c r="Q4" s="17"/>
      <c r="R4" s="14"/>
      <c r="S4" s="17"/>
      <c r="T4" s="17"/>
      <c r="U4" s="14"/>
      <c r="V4" s="17"/>
      <c r="W4" s="17"/>
      <c r="X4" s="14"/>
      <c r="Y4" s="18">
        <f t="shared" si="1"/>
        <v>0</v>
      </c>
      <c r="Z4" s="19">
        <f t="shared" si="2"/>
        <v>0</v>
      </c>
      <c r="AA4" s="20">
        <f t="shared" si="3"/>
        <v>0</v>
      </c>
      <c r="AB4" s="21">
        <f t="shared" si="4"/>
        <v>0</v>
      </c>
      <c r="AC4" s="22">
        <f t="shared" si="5"/>
        <v>0</v>
      </c>
      <c r="AD4" s="20">
        <f t="shared" si="8"/>
        <v>4</v>
      </c>
      <c r="AE4" s="23">
        <f t="shared" si="6"/>
        <v>4</v>
      </c>
      <c r="AF4" s="24" t="s">
        <v>42</v>
      </c>
      <c r="AG4" s="25" t="s">
        <v>43</v>
      </c>
      <c r="AJ4" s="27">
        <f t="shared" si="7"/>
        <v>0</v>
      </c>
    </row>
    <row r="5" spans="1:36" ht="18" customHeight="1" x14ac:dyDescent="0.3">
      <c r="A5" s="14">
        <v>4</v>
      </c>
      <c r="B5" s="15" t="s">
        <v>44</v>
      </c>
      <c r="C5" s="14"/>
      <c r="D5" s="14"/>
      <c r="E5" s="14"/>
      <c r="F5" s="14"/>
      <c r="G5" s="14"/>
      <c r="H5" s="14"/>
      <c r="I5" s="14">
        <v>3</v>
      </c>
      <c r="J5" s="14"/>
      <c r="K5" s="14"/>
      <c r="L5" s="14"/>
      <c r="M5" s="14"/>
      <c r="N5" s="14"/>
      <c r="O5" s="14"/>
      <c r="P5" s="16">
        <f t="shared" si="0"/>
        <v>3</v>
      </c>
      <c r="Q5" s="17"/>
      <c r="R5" s="17"/>
      <c r="S5" s="17"/>
      <c r="T5" s="17"/>
      <c r="U5" s="17"/>
      <c r="V5" s="17"/>
      <c r="W5" s="17"/>
      <c r="X5" s="17"/>
      <c r="Y5" s="18">
        <f t="shared" si="1"/>
        <v>0</v>
      </c>
      <c r="Z5" s="19">
        <f t="shared" si="2"/>
        <v>0</v>
      </c>
      <c r="AA5" s="20">
        <f t="shared" si="3"/>
        <v>0</v>
      </c>
      <c r="AB5" s="21">
        <f t="shared" si="4"/>
        <v>0</v>
      </c>
      <c r="AC5" s="22">
        <f t="shared" si="5"/>
        <v>0</v>
      </c>
      <c r="AD5" s="20">
        <f t="shared" si="8"/>
        <v>3</v>
      </c>
      <c r="AE5" s="23">
        <f t="shared" si="6"/>
        <v>3</v>
      </c>
      <c r="AF5" s="24" t="s">
        <v>45</v>
      </c>
      <c r="AG5" s="28" t="s">
        <v>46</v>
      </c>
      <c r="AJ5" s="27">
        <f t="shared" si="7"/>
        <v>0</v>
      </c>
    </row>
    <row r="6" spans="1:36" ht="18" customHeight="1" x14ac:dyDescent="0.3">
      <c r="A6" s="14">
        <v>5</v>
      </c>
      <c r="B6" s="15" t="s">
        <v>47</v>
      </c>
      <c r="C6" s="14"/>
      <c r="D6" s="14"/>
      <c r="E6" s="14"/>
      <c r="F6" s="14"/>
      <c r="G6" s="14"/>
      <c r="H6" s="14"/>
      <c r="I6" s="14">
        <v>3</v>
      </c>
      <c r="J6" s="14"/>
      <c r="K6" s="14"/>
      <c r="L6" s="14"/>
      <c r="M6" s="14"/>
      <c r="N6" s="14"/>
      <c r="O6" s="14"/>
      <c r="P6" s="16">
        <f t="shared" si="0"/>
        <v>3</v>
      </c>
      <c r="Q6" s="17"/>
      <c r="R6" s="17"/>
      <c r="S6" s="17"/>
      <c r="T6" s="17"/>
      <c r="U6" s="17"/>
      <c r="V6" s="17"/>
      <c r="W6" s="17"/>
      <c r="X6" s="17"/>
      <c r="Y6" s="18">
        <f t="shared" si="1"/>
        <v>0</v>
      </c>
      <c r="Z6" s="19">
        <f t="shared" si="2"/>
        <v>0</v>
      </c>
      <c r="AA6" s="20">
        <f t="shared" si="3"/>
        <v>0</v>
      </c>
      <c r="AB6" s="21">
        <f t="shared" si="4"/>
        <v>0</v>
      </c>
      <c r="AC6" s="22">
        <f t="shared" si="5"/>
        <v>0</v>
      </c>
      <c r="AD6" s="20">
        <f t="shared" si="8"/>
        <v>3</v>
      </c>
      <c r="AE6" s="23">
        <f t="shared" si="6"/>
        <v>3</v>
      </c>
      <c r="AF6" s="24" t="s">
        <v>48</v>
      </c>
      <c r="AG6" s="25" t="s">
        <v>49</v>
      </c>
      <c r="AJ6" s="27">
        <f t="shared" si="7"/>
        <v>0</v>
      </c>
    </row>
    <row r="7" spans="1:36" ht="18" customHeight="1" x14ac:dyDescent="0.3">
      <c r="A7" s="14">
        <v>6</v>
      </c>
      <c r="B7" s="15" t="s">
        <v>50</v>
      </c>
      <c r="C7" s="14"/>
      <c r="D7" s="14"/>
      <c r="E7" s="14"/>
      <c r="F7" s="14"/>
      <c r="G7" s="14"/>
      <c r="H7" s="14"/>
      <c r="I7" s="14">
        <v>3</v>
      </c>
      <c r="J7" s="14"/>
      <c r="K7" s="14"/>
      <c r="L7" s="14"/>
      <c r="M7" s="14"/>
      <c r="N7" s="14"/>
      <c r="O7" s="14"/>
      <c r="P7" s="16">
        <f t="shared" si="0"/>
        <v>3</v>
      </c>
      <c r="Q7" s="17"/>
      <c r="R7" s="17"/>
      <c r="S7" s="17"/>
      <c r="T7" s="17"/>
      <c r="U7" s="17"/>
      <c r="V7" s="17"/>
      <c r="W7" s="17"/>
      <c r="X7" s="17"/>
      <c r="Y7" s="18">
        <f t="shared" si="1"/>
        <v>0</v>
      </c>
      <c r="Z7" s="19">
        <f t="shared" si="2"/>
        <v>0</v>
      </c>
      <c r="AA7" s="20">
        <f t="shared" si="3"/>
        <v>0</v>
      </c>
      <c r="AB7" s="21">
        <f t="shared" si="4"/>
        <v>0</v>
      </c>
      <c r="AC7" s="22">
        <f t="shared" si="5"/>
        <v>0</v>
      </c>
      <c r="AD7" s="20">
        <f t="shared" si="8"/>
        <v>3</v>
      </c>
      <c r="AE7" s="23">
        <f t="shared" si="6"/>
        <v>3</v>
      </c>
      <c r="AF7" s="24" t="s">
        <v>51</v>
      </c>
      <c r="AG7" s="28" t="s">
        <v>52</v>
      </c>
      <c r="AJ7" s="27">
        <f t="shared" si="7"/>
        <v>0</v>
      </c>
    </row>
    <row r="8" spans="1:36" ht="18" customHeight="1" x14ac:dyDescent="0.3">
      <c r="A8" s="14">
        <v>7</v>
      </c>
      <c r="B8" s="29" t="s">
        <v>53</v>
      </c>
      <c r="C8" s="14"/>
      <c r="D8" s="14"/>
      <c r="E8" s="14"/>
      <c r="F8" s="14"/>
      <c r="G8" s="14"/>
      <c r="H8" s="14"/>
      <c r="I8" s="14">
        <v>3</v>
      </c>
      <c r="J8" s="14"/>
      <c r="K8" s="14"/>
      <c r="L8" s="14"/>
      <c r="M8" s="14"/>
      <c r="N8" s="14"/>
      <c r="O8" s="14"/>
      <c r="P8" s="16">
        <f t="shared" si="0"/>
        <v>3</v>
      </c>
      <c r="Q8" s="17"/>
      <c r="R8" s="14"/>
      <c r="S8" s="17"/>
      <c r="T8" s="17"/>
      <c r="U8" s="14"/>
      <c r="V8" s="17"/>
      <c r="W8" s="17"/>
      <c r="X8" s="14"/>
      <c r="Y8" s="18">
        <f t="shared" si="1"/>
        <v>0</v>
      </c>
      <c r="Z8" s="19">
        <f t="shared" si="2"/>
        <v>0</v>
      </c>
      <c r="AA8" s="20">
        <f t="shared" si="3"/>
        <v>0</v>
      </c>
      <c r="AB8" s="21">
        <f t="shared" si="4"/>
        <v>0</v>
      </c>
      <c r="AC8" s="22">
        <f t="shared" si="5"/>
        <v>0</v>
      </c>
      <c r="AD8" s="20">
        <f t="shared" si="8"/>
        <v>3</v>
      </c>
      <c r="AE8" s="23">
        <f t="shared" si="6"/>
        <v>3</v>
      </c>
      <c r="AF8" s="24" t="s">
        <v>54</v>
      </c>
      <c r="AG8" s="25" t="s">
        <v>55</v>
      </c>
      <c r="AJ8" s="27">
        <f t="shared" si="7"/>
        <v>0</v>
      </c>
    </row>
    <row r="9" spans="1:36" ht="18" customHeight="1" x14ac:dyDescent="0.3">
      <c r="A9" s="14">
        <v>8</v>
      </c>
      <c r="B9" s="15" t="s">
        <v>56</v>
      </c>
      <c r="C9" s="14"/>
      <c r="D9" s="14"/>
      <c r="E9" s="14"/>
      <c r="F9" s="14"/>
      <c r="G9" s="14"/>
      <c r="H9" s="14"/>
      <c r="I9" s="14">
        <v>3</v>
      </c>
      <c r="J9" s="14"/>
      <c r="K9" s="14"/>
      <c r="L9" s="14"/>
      <c r="M9" s="14"/>
      <c r="N9" s="14"/>
      <c r="O9" s="14"/>
      <c r="P9" s="16">
        <f t="shared" si="0"/>
        <v>3</v>
      </c>
      <c r="Q9" s="17"/>
      <c r="R9" s="14"/>
      <c r="S9" s="17"/>
      <c r="T9" s="17"/>
      <c r="U9" s="14"/>
      <c r="V9" s="17"/>
      <c r="W9" s="17"/>
      <c r="X9" s="14"/>
      <c r="Y9" s="18">
        <f t="shared" si="1"/>
        <v>0</v>
      </c>
      <c r="Z9" s="19">
        <f t="shared" si="2"/>
        <v>0</v>
      </c>
      <c r="AA9" s="20">
        <f t="shared" si="3"/>
        <v>0</v>
      </c>
      <c r="AB9" s="21">
        <f t="shared" si="4"/>
        <v>0</v>
      </c>
      <c r="AC9" s="22">
        <f t="shared" si="5"/>
        <v>0</v>
      </c>
      <c r="AD9" s="20">
        <f t="shared" si="8"/>
        <v>3</v>
      </c>
      <c r="AE9" s="23">
        <f t="shared" si="6"/>
        <v>3</v>
      </c>
      <c r="AF9" s="24" t="s">
        <v>57</v>
      </c>
      <c r="AG9" s="28" t="s">
        <v>58</v>
      </c>
      <c r="AJ9" s="27">
        <f t="shared" si="7"/>
        <v>0</v>
      </c>
    </row>
    <row r="10" spans="1:36" ht="18" customHeight="1" x14ac:dyDescent="0.3">
      <c r="A10" s="14">
        <v>9</v>
      </c>
      <c r="B10" s="15" t="s">
        <v>59</v>
      </c>
      <c r="C10" s="14"/>
      <c r="D10" s="14"/>
      <c r="E10" s="14"/>
      <c r="F10" s="14"/>
      <c r="G10" s="14"/>
      <c r="H10" s="14"/>
      <c r="I10" s="14">
        <v>4</v>
      </c>
      <c r="J10" s="14"/>
      <c r="K10" s="14"/>
      <c r="L10" s="14"/>
      <c r="M10" s="14"/>
      <c r="N10" s="14"/>
      <c r="O10" s="14"/>
      <c r="P10" s="16">
        <f t="shared" si="0"/>
        <v>4</v>
      </c>
      <c r="Q10" s="17"/>
      <c r="R10" s="17"/>
      <c r="S10" s="17"/>
      <c r="T10" s="17"/>
      <c r="U10" s="17"/>
      <c r="V10" s="17"/>
      <c r="W10" s="17"/>
      <c r="X10" s="17"/>
      <c r="Y10" s="18">
        <f t="shared" si="1"/>
        <v>0</v>
      </c>
      <c r="Z10" s="19">
        <f t="shared" si="2"/>
        <v>0</v>
      </c>
      <c r="AA10" s="20">
        <f t="shared" si="3"/>
        <v>0</v>
      </c>
      <c r="AB10" s="21">
        <f t="shared" si="4"/>
        <v>0</v>
      </c>
      <c r="AC10" s="22">
        <f t="shared" si="5"/>
        <v>0</v>
      </c>
      <c r="AD10" s="20">
        <f t="shared" si="8"/>
        <v>4</v>
      </c>
      <c r="AE10" s="23">
        <f t="shared" si="6"/>
        <v>4</v>
      </c>
      <c r="AF10" s="24" t="s">
        <v>60</v>
      </c>
      <c r="AG10" s="25" t="s">
        <v>61</v>
      </c>
      <c r="AJ10" s="27">
        <f t="shared" si="7"/>
        <v>0</v>
      </c>
    </row>
    <row r="11" spans="1:36" ht="18" customHeight="1" x14ac:dyDescent="0.3">
      <c r="A11" s="14">
        <v>10</v>
      </c>
      <c r="B11" s="15" t="s">
        <v>62</v>
      </c>
      <c r="C11" s="14"/>
      <c r="D11" s="14"/>
      <c r="E11" s="14"/>
      <c r="F11" s="14"/>
      <c r="G11" s="14"/>
      <c r="H11" s="14"/>
      <c r="I11" s="14">
        <v>3</v>
      </c>
      <c r="J11" s="14"/>
      <c r="K11" s="14"/>
      <c r="L11" s="14"/>
      <c r="M11" s="14"/>
      <c r="N11" s="14"/>
      <c r="O11" s="14"/>
      <c r="P11" s="16">
        <f t="shared" si="0"/>
        <v>3</v>
      </c>
      <c r="Q11" s="17"/>
      <c r="R11" s="14"/>
      <c r="S11" s="17"/>
      <c r="T11" s="17"/>
      <c r="U11" s="14"/>
      <c r="V11" s="17"/>
      <c r="W11" s="17"/>
      <c r="X11" s="14"/>
      <c r="Y11" s="18">
        <f t="shared" si="1"/>
        <v>0</v>
      </c>
      <c r="Z11" s="19">
        <f t="shared" si="2"/>
        <v>0</v>
      </c>
      <c r="AA11" s="20">
        <f t="shared" si="3"/>
        <v>0</v>
      </c>
      <c r="AB11" s="21">
        <f t="shared" si="4"/>
        <v>0</v>
      </c>
      <c r="AC11" s="22">
        <f t="shared" si="5"/>
        <v>0</v>
      </c>
      <c r="AD11" s="20">
        <f t="shared" si="8"/>
        <v>3</v>
      </c>
      <c r="AE11" s="23">
        <f t="shared" si="6"/>
        <v>3</v>
      </c>
      <c r="AF11" s="24" t="s">
        <v>63</v>
      </c>
      <c r="AG11" s="28" t="s">
        <v>64</v>
      </c>
      <c r="AJ11" s="27">
        <f t="shared" si="7"/>
        <v>0</v>
      </c>
    </row>
    <row r="12" spans="1:36" ht="18" customHeight="1" x14ac:dyDescent="0.3">
      <c r="A12" s="14">
        <v>11</v>
      </c>
      <c r="B12" s="15" t="s">
        <v>65</v>
      </c>
      <c r="C12" s="14"/>
      <c r="D12" s="14"/>
      <c r="E12" s="14"/>
      <c r="F12" s="14"/>
      <c r="G12" s="14"/>
      <c r="H12" s="14"/>
      <c r="I12" s="14">
        <v>4</v>
      </c>
      <c r="J12" s="14"/>
      <c r="K12" s="14"/>
      <c r="L12" s="14"/>
      <c r="M12" s="14"/>
      <c r="N12" s="14"/>
      <c r="O12" s="14"/>
      <c r="P12" s="16">
        <f t="shared" si="0"/>
        <v>4</v>
      </c>
      <c r="Q12" s="17"/>
      <c r="R12" s="14"/>
      <c r="S12" s="17"/>
      <c r="T12" s="17"/>
      <c r="U12" s="14"/>
      <c r="V12" s="17"/>
      <c r="W12" s="17"/>
      <c r="X12" s="14"/>
      <c r="Y12" s="18">
        <f t="shared" si="1"/>
        <v>0</v>
      </c>
      <c r="Z12" s="19">
        <f t="shared" si="2"/>
        <v>0</v>
      </c>
      <c r="AA12" s="20">
        <f t="shared" si="3"/>
        <v>0</v>
      </c>
      <c r="AB12" s="21">
        <f t="shared" si="4"/>
        <v>0</v>
      </c>
      <c r="AC12" s="22">
        <f t="shared" si="5"/>
        <v>0</v>
      </c>
      <c r="AD12" s="20">
        <f t="shared" si="8"/>
        <v>4</v>
      </c>
      <c r="AE12" s="23">
        <f t="shared" si="6"/>
        <v>4</v>
      </c>
      <c r="AF12" s="24" t="s">
        <v>66</v>
      </c>
      <c r="AG12" s="25" t="s">
        <v>67</v>
      </c>
      <c r="AJ12" s="27">
        <f t="shared" si="7"/>
        <v>0</v>
      </c>
    </row>
    <row r="13" spans="1:36" ht="18" customHeight="1" x14ac:dyDescent="0.3">
      <c r="A13" s="14">
        <v>12</v>
      </c>
      <c r="B13" s="15" t="s">
        <v>68</v>
      </c>
      <c r="C13" s="14"/>
      <c r="D13" s="14"/>
      <c r="E13" s="14"/>
      <c r="F13" s="14"/>
      <c r="G13" s="14"/>
      <c r="H13" s="14"/>
      <c r="I13" s="14">
        <v>3</v>
      </c>
      <c r="J13" s="14"/>
      <c r="K13" s="14"/>
      <c r="L13" s="14"/>
      <c r="M13" s="14"/>
      <c r="N13" s="14"/>
      <c r="O13" s="14"/>
      <c r="P13" s="16">
        <f t="shared" si="0"/>
        <v>3</v>
      </c>
      <c r="Q13" s="17"/>
      <c r="R13" s="14"/>
      <c r="S13" s="17"/>
      <c r="T13" s="17"/>
      <c r="U13" s="14"/>
      <c r="V13" s="17"/>
      <c r="W13" s="17"/>
      <c r="X13" s="14"/>
      <c r="Y13" s="18">
        <f t="shared" si="1"/>
        <v>0</v>
      </c>
      <c r="Z13" s="19">
        <f t="shared" si="2"/>
        <v>0</v>
      </c>
      <c r="AA13" s="20">
        <f t="shared" si="3"/>
        <v>0</v>
      </c>
      <c r="AB13" s="21">
        <f t="shared" si="4"/>
        <v>0</v>
      </c>
      <c r="AC13" s="22">
        <f t="shared" si="5"/>
        <v>0</v>
      </c>
      <c r="AD13" s="20">
        <f t="shared" si="8"/>
        <v>3</v>
      </c>
      <c r="AE13" s="23">
        <f t="shared" si="6"/>
        <v>3</v>
      </c>
      <c r="AF13" s="24" t="s">
        <v>69</v>
      </c>
      <c r="AG13" s="28" t="s">
        <v>70</v>
      </c>
      <c r="AJ13" s="27">
        <f t="shared" si="7"/>
        <v>0</v>
      </c>
    </row>
    <row r="14" spans="1:36" ht="18" customHeight="1" x14ac:dyDescent="0.3">
      <c r="A14" s="14">
        <v>13</v>
      </c>
      <c r="B14" s="29" t="s">
        <v>71</v>
      </c>
      <c r="C14" s="14"/>
      <c r="D14" s="14"/>
      <c r="E14" s="14"/>
      <c r="F14" s="14"/>
      <c r="G14" s="14"/>
      <c r="H14" s="14"/>
      <c r="I14" s="14">
        <v>3</v>
      </c>
      <c r="J14" s="14"/>
      <c r="K14" s="14"/>
      <c r="L14" s="14"/>
      <c r="M14" s="14"/>
      <c r="N14" s="14"/>
      <c r="O14" s="14"/>
      <c r="P14" s="16">
        <f t="shared" si="0"/>
        <v>3</v>
      </c>
      <c r="Q14" s="17"/>
      <c r="R14" s="14"/>
      <c r="S14" s="17"/>
      <c r="T14" s="17"/>
      <c r="U14" s="14"/>
      <c r="V14" s="17"/>
      <c r="W14" s="17"/>
      <c r="X14" s="14"/>
      <c r="Y14" s="18">
        <f t="shared" si="1"/>
        <v>0</v>
      </c>
      <c r="Z14" s="19">
        <f t="shared" si="2"/>
        <v>0</v>
      </c>
      <c r="AA14" s="20">
        <f t="shared" si="3"/>
        <v>0</v>
      </c>
      <c r="AB14" s="21">
        <f t="shared" si="4"/>
        <v>0</v>
      </c>
      <c r="AC14" s="22">
        <f t="shared" si="5"/>
        <v>0</v>
      </c>
      <c r="AD14" s="20">
        <f t="shared" si="8"/>
        <v>3</v>
      </c>
      <c r="AE14" s="23">
        <f t="shared" si="6"/>
        <v>3</v>
      </c>
      <c r="AF14" s="24" t="s">
        <v>72</v>
      </c>
      <c r="AG14" s="25" t="s">
        <v>73</v>
      </c>
      <c r="AJ14" s="27">
        <f t="shared" si="7"/>
        <v>0</v>
      </c>
    </row>
    <row r="15" spans="1:36" ht="18" customHeight="1" x14ac:dyDescent="0.3">
      <c r="A15" s="14">
        <v>14</v>
      </c>
      <c r="B15" s="15" t="s">
        <v>74</v>
      </c>
      <c r="C15" s="14"/>
      <c r="D15" s="14"/>
      <c r="E15" s="14"/>
      <c r="F15" s="14"/>
      <c r="G15" s="14"/>
      <c r="H15" s="14"/>
      <c r="I15" s="14">
        <v>3</v>
      </c>
      <c r="J15" s="14"/>
      <c r="K15" s="14"/>
      <c r="L15" s="14"/>
      <c r="M15" s="14"/>
      <c r="N15" s="14"/>
      <c r="O15" s="14"/>
      <c r="P15" s="16">
        <f t="shared" si="0"/>
        <v>3</v>
      </c>
      <c r="Q15" s="17"/>
      <c r="R15" s="14"/>
      <c r="S15" s="17"/>
      <c r="T15" s="17"/>
      <c r="U15" s="14"/>
      <c r="V15" s="17"/>
      <c r="W15" s="17"/>
      <c r="X15" s="14"/>
      <c r="Y15" s="18">
        <f t="shared" si="1"/>
        <v>0</v>
      </c>
      <c r="Z15" s="19">
        <f t="shared" si="2"/>
        <v>0</v>
      </c>
      <c r="AA15" s="20">
        <f t="shared" si="3"/>
        <v>0</v>
      </c>
      <c r="AB15" s="21">
        <f t="shared" si="4"/>
        <v>0</v>
      </c>
      <c r="AC15" s="22">
        <f t="shared" si="5"/>
        <v>0</v>
      </c>
      <c r="AD15" s="20">
        <f t="shared" si="8"/>
        <v>3</v>
      </c>
      <c r="AE15" s="23">
        <f t="shared" si="6"/>
        <v>3</v>
      </c>
      <c r="AF15" s="24" t="s">
        <v>75</v>
      </c>
      <c r="AG15" s="28" t="s">
        <v>76</v>
      </c>
      <c r="AJ15" s="27">
        <f t="shared" si="7"/>
        <v>0</v>
      </c>
    </row>
    <row r="16" spans="1:36" ht="18" customHeight="1" x14ac:dyDescent="0.3">
      <c r="A16" s="14">
        <v>15</v>
      </c>
      <c r="B16" s="15" t="s">
        <v>77</v>
      </c>
      <c r="C16" s="14"/>
      <c r="D16" s="14"/>
      <c r="E16" s="14"/>
      <c r="F16" s="14"/>
      <c r="G16" s="14"/>
      <c r="H16" s="14"/>
      <c r="I16" s="14">
        <v>4</v>
      </c>
      <c r="J16" s="14"/>
      <c r="K16" s="14"/>
      <c r="L16" s="14"/>
      <c r="M16" s="14"/>
      <c r="N16" s="14"/>
      <c r="O16" s="14"/>
      <c r="P16" s="16">
        <f t="shared" si="0"/>
        <v>4</v>
      </c>
      <c r="Q16" s="17"/>
      <c r="R16" s="14"/>
      <c r="S16" s="17"/>
      <c r="T16" s="17"/>
      <c r="U16" s="14"/>
      <c r="V16" s="17"/>
      <c r="W16" s="17"/>
      <c r="X16" s="14"/>
      <c r="Y16" s="18">
        <f t="shared" si="1"/>
        <v>0</v>
      </c>
      <c r="Z16" s="19">
        <f t="shared" si="2"/>
        <v>0</v>
      </c>
      <c r="AA16" s="20">
        <f t="shared" si="3"/>
        <v>0</v>
      </c>
      <c r="AB16" s="21">
        <f t="shared" si="4"/>
        <v>0</v>
      </c>
      <c r="AC16" s="22">
        <f t="shared" si="5"/>
        <v>0</v>
      </c>
      <c r="AD16" s="20">
        <f t="shared" si="8"/>
        <v>4</v>
      </c>
      <c r="AE16" s="23">
        <f t="shared" si="6"/>
        <v>4</v>
      </c>
      <c r="AF16" s="24" t="s">
        <v>78</v>
      </c>
      <c r="AG16" s="25" t="s">
        <v>79</v>
      </c>
      <c r="AJ16" s="27">
        <f t="shared" si="7"/>
        <v>0</v>
      </c>
    </row>
    <row r="17" spans="1:36" ht="18" customHeight="1" x14ac:dyDescent="0.3">
      <c r="A17" s="14">
        <v>16</v>
      </c>
      <c r="B17" s="15" t="s">
        <v>80</v>
      </c>
      <c r="C17" s="14"/>
      <c r="D17" s="14"/>
      <c r="E17" s="14"/>
      <c r="F17" s="14"/>
      <c r="G17" s="14"/>
      <c r="H17" s="14"/>
      <c r="I17" s="14">
        <v>3</v>
      </c>
      <c r="J17" s="14"/>
      <c r="K17" s="14"/>
      <c r="L17" s="14"/>
      <c r="M17" s="14"/>
      <c r="N17" s="14"/>
      <c r="O17" s="14"/>
      <c r="P17" s="16">
        <f t="shared" si="0"/>
        <v>3</v>
      </c>
      <c r="Q17" s="17"/>
      <c r="R17" s="14"/>
      <c r="S17" s="17"/>
      <c r="T17" s="17"/>
      <c r="U17" s="14"/>
      <c r="V17" s="17"/>
      <c r="W17" s="17"/>
      <c r="X17" s="14"/>
      <c r="Y17" s="18">
        <f t="shared" si="1"/>
        <v>0</v>
      </c>
      <c r="Z17" s="19">
        <f t="shared" si="2"/>
        <v>0</v>
      </c>
      <c r="AA17" s="20">
        <f t="shared" si="3"/>
        <v>0</v>
      </c>
      <c r="AB17" s="21">
        <f t="shared" si="4"/>
        <v>0</v>
      </c>
      <c r="AC17" s="22">
        <f t="shared" si="5"/>
        <v>0</v>
      </c>
      <c r="AD17" s="20">
        <f t="shared" si="8"/>
        <v>3</v>
      </c>
      <c r="AE17" s="23">
        <f t="shared" si="6"/>
        <v>3</v>
      </c>
      <c r="AF17" s="24" t="s">
        <v>81</v>
      </c>
      <c r="AG17" s="28" t="s">
        <v>82</v>
      </c>
      <c r="AJ17" s="27">
        <f t="shared" si="7"/>
        <v>0</v>
      </c>
    </row>
    <row r="18" spans="1:36" ht="18" customHeight="1" x14ac:dyDescent="0.3">
      <c r="A18" s="14">
        <v>17</v>
      </c>
      <c r="B18" s="15" t="s">
        <v>83</v>
      </c>
      <c r="C18" s="14"/>
      <c r="D18" s="14"/>
      <c r="E18" s="14"/>
      <c r="F18" s="14"/>
      <c r="G18" s="14"/>
      <c r="H18" s="14"/>
      <c r="I18" s="14" t="s">
        <v>123</v>
      </c>
      <c r="J18" s="14"/>
      <c r="K18" s="14"/>
      <c r="L18" s="14"/>
      <c r="M18" s="14"/>
      <c r="N18" s="14"/>
      <c r="O18" s="14"/>
      <c r="P18" s="16" t="str">
        <f t="shared" si="0"/>
        <v/>
      </c>
      <c r="Q18" s="17"/>
      <c r="R18" s="14"/>
      <c r="S18" s="17"/>
      <c r="T18" s="17"/>
      <c r="U18" s="14"/>
      <c r="V18" s="17"/>
      <c r="W18" s="17"/>
      <c r="X18" s="14"/>
      <c r="Y18" s="18">
        <f t="shared" si="1"/>
        <v>0</v>
      </c>
      <c r="Z18" s="19">
        <f t="shared" si="2"/>
        <v>0</v>
      </c>
      <c r="AA18" s="20">
        <f t="shared" si="3"/>
        <v>0</v>
      </c>
      <c r="AB18" s="21">
        <f t="shared" si="4"/>
        <v>0</v>
      </c>
      <c r="AC18" s="22">
        <f t="shared" si="5"/>
        <v>0</v>
      </c>
      <c r="AD18" s="20" t="str">
        <f t="shared" si="8"/>
        <v/>
      </c>
      <c r="AE18" s="23" t="str">
        <f t="shared" si="6"/>
        <v/>
      </c>
      <c r="AF18" s="24" t="s">
        <v>84</v>
      </c>
      <c r="AG18" s="25" t="s">
        <v>85</v>
      </c>
      <c r="AJ18" s="27">
        <f t="shared" si="7"/>
        <v>0</v>
      </c>
    </row>
    <row r="19" spans="1:36" ht="18" customHeight="1" x14ac:dyDescent="0.3">
      <c r="A19" s="14">
        <v>18</v>
      </c>
      <c r="B19" s="15" t="s">
        <v>86</v>
      </c>
      <c r="C19" s="14"/>
      <c r="D19" s="14"/>
      <c r="E19" s="14"/>
      <c r="F19" s="14"/>
      <c r="G19" s="14"/>
      <c r="H19" s="14"/>
      <c r="I19" s="14">
        <v>3</v>
      </c>
      <c r="J19" s="14"/>
      <c r="K19" s="14"/>
      <c r="L19" s="14"/>
      <c r="M19" s="14"/>
      <c r="N19" s="14"/>
      <c r="O19" s="14"/>
      <c r="P19" s="16">
        <f t="shared" si="0"/>
        <v>3</v>
      </c>
      <c r="Q19" s="17"/>
      <c r="R19" s="14"/>
      <c r="S19" s="17"/>
      <c r="T19" s="17"/>
      <c r="U19" s="14"/>
      <c r="V19" s="17"/>
      <c r="W19" s="17"/>
      <c r="X19" s="14"/>
      <c r="Y19" s="18">
        <f t="shared" si="1"/>
        <v>0</v>
      </c>
      <c r="Z19" s="19">
        <f t="shared" si="2"/>
        <v>0</v>
      </c>
      <c r="AA19" s="20">
        <f t="shared" si="3"/>
        <v>0</v>
      </c>
      <c r="AB19" s="21">
        <f t="shared" si="4"/>
        <v>0</v>
      </c>
      <c r="AC19" s="22">
        <f t="shared" si="5"/>
        <v>0</v>
      </c>
      <c r="AD19" s="20">
        <f t="shared" si="8"/>
        <v>3</v>
      </c>
      <c r="AE19" s="23">
        <f t="shared" si="6"/>
        <v>3</v>
      </c>
      <c r="AF19" s="24" t="s">
        <v>87</v>
      </c>
      <c r="AG19" s="28" t="s">
        <v>88</v>
      </c>
      <c r="AJ19" s="27">
        <f t="shared" si="7"/>
        <v>0</v>
      </c>
    </row>
    <row r="20" spans="1:36" ht="18" customHeight="1" x14ac:dyDescent="0.3">
      <c r="A20" s="14">
        <v>19</v>
      </c>
      <c r="B20" s="15" t="s">
        <v>89</v>
      </c>
      <c r="C20" s="14"/>
      <c r="D20" s="14"/>
      <c r="E20" s="14"/>
      <c r="F20" s="14"/>
      <c r="G20" s="14"/>
      <c r="H20" s="14"/>
      <c r="I20" s="14" t="s">
        <v>123</v>
      </c>
      <c r="J20" s="14"/>
      <c r="K20" s="14"/>
      <c r="L20" s="14"/>
      <c r="M20" s="14"/>
      <c r="N20" s="14"/>
      <c r="O20" s="14"/>
      <c r="P20" s="16" t="str">
        <f t="shared" si="0"/>
        <v/>
      </c>
      <c r="Q20" s="17"/>
      <c r="R20" s="14"/>
      <c r="S20" s="17"/>
      <c r="T20" s="17"/>
      <c r="U20" s="14"/>
      <c r="V20" s="17"/>
      <c r="W20" s="17"/>
      <c r="X20" s="14"/>
      <c r="Y20" s="18">
        <f t="shared" si="1"/>
        <v>0</v>
      </c>
      <c r="Z20" s="19">
        <f t="shared" si="2"/>
        <v>0</v>
      </c>
      <c r="AA20" s="20">
        <f t="shared" si="3"/>
        <v>0</v>
      </c>
      <c r="AB20" s="21">
        <f t="shared" si="4"/>
        <v>0</v>
      </c>
      <c r="AC20" s="22">
        <f t="shared" si="5"/>
        <v>0</v>
      </c>
      <c r="AD20" s="20" t="str">
        <f t="shared" si="8"/>
        <v/>
      </c>
      <c r="AE20" s="23" t="str">
        <f t="shared" si="6"/>
        <v/>
      </c>
      <c r="AF20" s="24" t="s">
        <v>90</v>
      </c>
      <c r="AG20" s="25" t="s">
        <v>91</v>
      </c>
      <c r="AJ20" s="27">
        <f t="shared" si="7"/>
        <v>0</v>
      </c>
    </row>
    <row r="21" spans="1:36" ht="18" customHeight="1" x14ac:dyDescent="0.3">
      <c r="A21" s="14">
        <v>20</v>
      </c>
      <c r="B21" s="15" t="s">
        <v>92</v>
      </c>
      <c r="C21" s="14"/>
      <c r="D21" s="14"/>
      <c r="E21" s="14"/>
      <c r="F21" s="14"/>
      <c r="G21" s="14"/>
      <c r="H21" s="14"/>
      <c r="I21" s="14" t="s">
        <v>123</v>
      </c>
      <c r="J21" s="14"/>
      <c r="K21" s="14"/>
      <c r="L21" s="14"/>
      <c r="M21" s="14"/>
      <c r="N21" s="14"/>
      <c r="O21" s="14"/>
      <c r="P21" s="16" t="str">
        <f t="shared" si="0"/>
        <v/>
      </c>
      <c r="Q21" s="17"/>
      <c r="R21" s="17"/>
      <c r="S21" s="17"/>
      <c r="T21" s="17"/>
      <c r="U21" s="17"/>
      <c r="V21" s="17"/>
      <c r="W21" s="17"/>
      <c r="X21" s="17"/>
      <c r="Y21" s="18">
        <f t="shared" si="1"/>
        <v>0</v>
      </c>
      <c r="Z21" s="19">
        <f t="shared" si="2"/>
        <v>0</v>
      </c>
      <c r="AA21" s="20">
        <f t="shared" si="3"/>
        <v>0</v>
      </c>
      <c r="AB21" s="21">
        <f t="shared" si="4"/>
        <v>0</v>
      </c>
      <c r="AC21" s="22">
        <f t="shared" si="5"/>
        <v>0</v>
      </c>
      <c r="AD21" s="20" t="str">
        <f t="shared" si="8"/>
        <v/>
      </c>
      <c r="AE21" s="23" t="str">
        <f t="shared" si="6"/>
        <v/>
      </c>
      <c r="AF21" s="24" t="s">
        <v>93</v>
      </c>
      <c r="AG21" s="28" t="s">
        <v>94</v>
      </c>
      <c r="AJ21" s="27">
        <f t="shared" si="7"/>
        <v>0</v>
      </c>
    </row>
    <row r="22" spans="1:36" ht="14.25" customHeight="1" x14ac:dyDescent="0.3">
      <c r="A22" s="14">
        <v>21</v>
      </c>
      <c r="B22" s="43" t="s">
        <v>118</v>
      </c>
      <c r="C22" s="14"/>
      <c r="D22" s="14"/>
      <c r="E22" s="14"/>
      <c r="F22" s="14"/>
      <c r="G22" s="14"/>
      <c r="H22" s="14"/>
      <c r="I22" s="14">
        <v>3</v>
      </c>
      <c r="J22" s="14"/>
      <c r="K22" s="14"/>
      <c r="L22" s="14"/>
      <c r="M22" s="14"/>
      <c r="N22" s="14"/>
      <c r="O22" s="14"/>
      <c r="P22" s="16">
        <f t="shared" ref="P22:P27" si="9">IFERROR((IF(ISNUMBER(C22),C22*3,0)+IF(ISNUMBER(D22),D22*3,0)+IF(ISNUMBER(E22),E22*3,0)+IF(ISNUMBER(F22),F22*3,0)+IF(ISNUMBER(G22),G22*3,0)+IF(ISNUMBER(H22),H22*3,0)+IF(ISNUMBER(I22),I22*2,0)+IF(ISNUMBER(J22),J22*2,0)+IF(ISNUMBER(K22),K22*2,0)+IF(ISNUMBER(L22),L22*2,0)+IF(ISNUMBER(M22),M22*2,0)+IF(ISNUMBER(N22),N22*2,0)+IF(ISNUMBER(O22),O22*1,0))/(IF(ISNUMBER(C22),3,0)+IF(ISNUMBER(D22),3,0)+IF(ISNUMBER(E22),3,0)+IF(ISNUMBER(F22),3,0)+IF(ISNUMBER(G22),3,0)+IF(ISNUMBER(H22),3,0)+IF(ISNUMBER(I22),2,0)+IF(ISNUMBER(J22),2,0)+IF(ISNUMBER(K22),2,0)+IF(ISNUMBER(L22),2,0)+IF(ISNUMBER(M22),2,0)+IF(ISNUMBER(N22),2,0)+IF(ISNUMBER(O22),1,0)),"")</f>
        <v>3</v>
      </c>
      <c r="Q22" s="17"/>
      <c r="R22" s="17"/>
      <c r="S22" s="17"/>
      <c r="T22" s="17"/>
      <c r="U22" s="17"/>
      <c r="V22" s="17"/>
      <c r="W22" s="17"/>
      <c r="X22" s="17"/>
      <c r="Y22" s="18">
        <f t="shared" ref="Y22:Y27" si="10">IF(ISBLANK(B22),"",COUNTIF(Q22:X22,"&gt;0")+IF(UPPER(AI22)="PODVOD",1,IF(ISNUMBER(AI22),AI22,0)))</f>
        <v>0</v>
      </c>
      <c r="Z22" s="19">
        <f t="shared" ref="Z22:Z27" si="11">IF(ISBLANK(B22),"",IF(Y22=0,0,Y22/$AH$2))</f>
        <v>0</v>
      </c>
      <c r="AA22" s="20">
        <f t="shared" ref="AA22:AA27" si="12">IF(ISBLANK(B22),"",IF(Y22&lt;3,0,IF((IF(ISNUMBER(Q22),IF(Q22&gt;=60,1,0),0)+IF(ISNUMBER(R22),IF(R22&gt;=60,1,0),0)+IF(ISNUMBER(S22),IF(S22&gt;=60,1,0),0)+IF(ISNUMBER(T22),IF(T22&gt;=60,1,0),0)+IF(ISNUMBER(U22),IF(U22&gt;=60,1,0),0)+IF(ISNUMBER(V22),IF(V22&gt;=60,1,0),0)+IF(ISNUMBER(W22),IF(W22&gt;=60,1,0),0)+IF(ISNUMBER(X22),IF(X22&gt;=60,1,0),0))&gt;0,(IF(ISNUMBER(Q22),IF(Q22&gt;=90,-0.25,IF(Q22&gt;=75,-0.15,-0.1)),0)+IF(ISNUMBER(R22),IF(R22&gt;=90,-0.25,IF(R22&gt;=75,-0.15,-0.1)),0)+IF(ISNUMBER(S22),IF(S22&gt;=90,-0.25,IF(S22&gt;=75,-0.15,-0.1)),0)+IF(ISNUMBER(T22),IF(T22&gt;=90,-0.25,IF(T22&gt;=75,-0.15,-0.1)),0)+IF(ISNUMBER(U22),IF(U22&gt;=90,-0.25,IF(U22&gt;=75,-0.15,-0.1)),0)+IF(ISNUMBER(V22),IF(V22&gt;=90,-0.25,IF(V22&gt;=75,-0.15,-0.1)),0)+IF(ISNUMBER(W22),IF(W22&gt;=90,-0.25,IF(W22&gt;=75,-0.15,-0.1)),0)+IF(ISNUMBER(X22),IF(X22&gt;=90,-0.25,IF(X22&gt;=75,-0.15,-0.1)),0))/(IF(ISNUMBER(Q22),IF(Q22&gt;=60,1,0),0)+IF(ISNUMBER(R22),IF(R22&gt;=60,1,0),0)+IF(ISNUMBER(S22),IF(S22&gt;=60,1,0),0)+IF(ISNUMBER(T22),IF(T22&gt;=60,1,0),0)+IF(ISNUMBER(U22),IF(U22&gt;=60,1,0),0)+IF(ISNUMBER(V22),IF(V22&gt;=60,1,0),0)+IF(ISNUMBER(W22),IF(W22&gt;=60,1,0),0)+IF(ISNUMBER(X22),IF(X22&gt;=60,1,0),0)),0)))</f>
        <v>0</v>
      </c>
      <c r="AB22" s="21">
        <f t="shared" ref="AB22:AB27" si="13">IF(ISBLANK(B22),"",IF(AND(Y22&gt;=3,Z22&gt;=0.75),-0.15,0))</f>
        <v>0</v>
      </c>
      <c r="AC22" s="22">
        <f t="shared" ref="AC22:AC27" si="14">AA22+AB22+AJ22</f>
        <v>0</v>
      </c>
      <c r="AD22" s="20">
        <f t="shared" ref="AD22:AD27" si="15">IF(P22="","",P22+AC22)</f>
        <v>3</v>
      </c>
      <c r="AE22" s="23">
        <f t="shared" ref="AE22:AE27" si="16">IF(ISBLANK(B22),"",IFERROR(IF(ISNUMBER(AD22),IF(AD22&lt;=1.5,1,IF(AD22&lt;=2.5,2,IF(AD22&lt;=3.5,3,IF(AD22&lt;=4.5,4,5)))),""),""))</f>
        <v>3</v>
      </c>
      <c r="AF22" t="s">
        <v>112</v>
      </c>
    </row>
    <row r="23" spans="1:36" ht="15" customHeight="1" x14ac:dyDescent="0.3">
      <c r="A23" s="14">
        <v>22</v>
      </c>
      <c r="B23" s="43" t="s">
        <v>119</v>
      </c>
      <c r="C23" s="14"/>
      <c r="D23" s="14"/>
      <c r="E23" s="14"/>
      <c r="F23" s="14"/>
      <c r="G23" s="14"/>
      <c r="H23" s="14"/>
      <c r="I23" s="14">
        <v>3</v>
      </c>
      <c r="J23" s="14"/>
      <c r="K23" s="14"/>
      <c r="L23" s="14"/>
      <c r="M23" s="14"/>
      <c r="N23" s="14"/>
      <c r="O23" s="14"/>
      <c r="P23" s="16">
        <f t="shared" si="9"/>
        <v>3</v>
      </c>
      <c r="Q23" s="17"/>
      <c r="R23" s="17"/>
      <c r="S23" s="17"/>
      <c r="T23" s="17"/>
      <c r="U23" s="17"/>
      <c r="V23" s="17"/>
      <c r="W23" s="17"/>
      <c r="X23" s="17"/>
      <c r="Y23" s="18">
        <f t="shared" si="10"/>
        <v>0</v>
      </c>
      <c r="Z23" s="19">
        <f t="shared" si="11"/>
        <v>0</v>
      </c>
      <c r="AA23" s="20">
        <f t="shared" si="12"/>
        <v>0</v>
      </c>
      <c r="AB23" s="21">
        <f t="shared" si="13"/>
        <v>0</v>
      </c>
      <c r="AC23" s="22">
        <f t="shared" si="14"/>
        <v>0</v>
      </c>
      <c r="AD23" s="20">
        <f t="shared" si="15"/>
        <v>3</v>
      </c>
      <c r="AE23" s="23">
        <f t="shared" si="16"/>
        <v>3</v>
      </c>
      <c r="AF23" t="s">
        <v>113</v>
      </c>
    </row>
    <row r="24" spans="1:36" ht="14.25" customHeight="1" x14ac:dyDescent="0.3">
      <c r="A24" s="14">
        <v>23</v>
      </c>
      <c r="B24" s="43" t="s">
        <v>120</v>
      </c>
      <c r="C24" s="14"/>
      <c r="D24" s="14"/>
      <c r="E24" s="14"/>
      <c r="F24" s="14"/>
      <c r="G24" s="14"/>
      <c r="H24" s="14"/>
      <c r="I24" s="14">
        <v>4</v>
      </c>
      <c r="J24" s="14"/>
      <c r="K24" s="14"/>
      <c r="L24" s="14"/>
      <c r="M24" s="14"/>
      <c r="N24" s="14"/>
      <c r="O24" s="14"/>
      <c r="P24" s="16">
        <f t="shared" si="9"/>
        <v>4</v>
      </c>
      <c r="Q24" s="17"/>
      <c r="R24" s="17"/>
      <c r="S24" s="17"/>
      <c r="T24" s="17"/>
      <c r="U24" s="17"/>
      <c r="V24" s="17"/>
      <c r="W24" s="17"/>
      <c r="X24" s="17"/>
      <c r="Y24" s="18">
        <f t="shared" si="10"/>
        <v>0</v>
      </c>
      <c r="Z24" s="19">
        <f t="shared" si="11"/>
        <v>0</v>
      </c>
      <c r="AA24" s="20">
        <f t="shared" si="12"/>
        <v>0</v>
      </c>
      <c r="AB24" s="21">
        <f t="shared" si="13"/>
        <v>0</v>
      </c>
      <c r="AC24" s="22">
        <f t="shared" si="14"/>
        <v>0</v>
      </c>
      <c r="AD24" s="20">
        <f t="shared" si="15"/>
        <v>4</v>
      </c>
      <c r="AE24" s="23">
        <f t="shared" si="16"/>
        <v>4</v>
      </c>
      <c r="AF24" t="s">
        <v>114</v>
      </c>
    </row>
    <row r="25" spans="1:36" ht="14.25" customHeight="1" x14ac:dyDescent="0.3">
      <c r="A25" s="14">
        <v>24</v>
      </c>
      <c r="B25" s="43" t="s">
        <v>124</v>
      </c>
      <c r="C25" s="14"/>
      <c r="D25" s="14"/>
      <c r="E25" s="14"/>
      <c r="F25" s="14"/>
      <c r="G25" s="14"/>
      <c r="H25" s="14"/>
      <c r="I25" s="14">
        <v>4</v>
      </c>
      <c r="J25" s="14"/>
      <c r="K25" s="14"/>
      <c r="L25" s="14"/>
      <c r="M25" s="14"/>
      <c r="N25" s="14"/>
      <c r="O25" s="14"/>
      <c r="P25" s="16">
        <f t="shared" si="9"/>
        <v>4</v>
      </c>
      <c r="Q25" s="17"/>
      <c r="R25" s="17"/>
      <c r="S25" s="17"/>
      <c r="T25" s="17"/>
      <c r="U25" s="17"/>
      <c r="V25" s="17"/>
      <c r="W25" s="17"/>
      <c r="X25" s="17"/>
      <c r="Y25" s="18">
        <f t="shared" si="10"/>
        <v>0</v>
      </c>
      <c r="Z25" s="19">
        <f t="shared" si="11"/>
        <v>0</v>
      </c>
      <c r="AA25" s="20">
        <f t="shared" si="12"/>
        <v>0</v>
      </c>
      <c r="AB25" s="21">
        <f t="shared" si="13"/>
        <v>0</v>
      </c>
      <c r="AC25" s="22">
        <f t="shared" si="14"/>
        <v>0</v>
      </c>
      <c r="AD25" s="20">
        <f t="shared" si="15"/>
        <v>4</v>
      </c>
      <c r="AE25" s="23">
        <f t="shared" si="16"/>
        <v>4</v>
      </c>
      <c r="AF25" t="s">
        <v>115</v>
      </c>
    </row>
    <row r="26" spans="1:36" ht="14.25" customHeight="1" x14ac:dyDescent="0.3">
      <c r="A26" s="14">
        <v>25</v>
      </c>
      <c r="B26" s="43" t="s">
        <v>121</v>
      </c>
      <c r="C26" s="14"/>
      <c r="D26" s="14"/>
      <c r="E26" s="14"/>
      <c r="F26" s="14"/>
      <c r="G26" s="14"/>
      <c r="H26" s="14"/>
      <c r="I26" s="14">
        <v>5</v>
      </c>
      <c r="J26" s="14"/>
      <c r="K26" s="14"/>
      <c r="L26" s="14"/>
      <c r="M26" s="14"/>
      <c r="N26" s="14"/>
      <c r="O26" s="14"/>
      <c r="P26" s="16">
        <f t="shared" si="9"/>
        <v>5</v>
      </c>
      <c r="Q26" s="17"/>
      <c r="R26" s="17"/>
      <c r="S26" s="17"/>
      <c r="T26" s="17"/>
      <c r="U26" s="17"/>
      <c r="V26" s="17"/>
      <c r="W26" s="17"/>
      <c r="X26" s="17"/>
      <c r="Y26" s="18">
        <f t="shared" si="10"/>
        <v>0</v>
      </c>
      <c r="Z26" s="19">
        <f t="shared" si="11"/>
        <v>0</v>
      </c>
      <c r="AA26" s="20">
        <f t="shared" si="12"/>
        <v>0</v>
      </c>
      <c r="AB26" s="21">
        <f t="shared" si="13"/>
        <v>0</v>
      </c>
      <c r="AC26" s="22">
        <f t="shared" si="14"/>
        <v>0</v>
      </c>
      <c r="AD26" s="20">
        <f t="shared" si="15"/>
        <v>5</v>
      </c>
      <c r="AE26" s="23">
        <f t="shared" si="16"/>
        <v>5</v>
      </c>
      <c r="AF26" t="s">
        <v>116</v>
      </c>
    </row>
    <row r="27" spans="1:36" ht="14.25" customHeight="1" x14ac:dyDescent="0.3">
      <c r="A27" s="14">
        <v>26</v>
      </c>
      <c r="B27" s="43" t="s">
        <v>122</v>
      </c>
      <c r="C27" s="14"/>
      <c r="D27" s="14"/>
      <c r="E27" s="14"/>
      <c r="F27" s="14"/>
      <c r="G27" s="14"/>
      <c r="H27" s="14"/>
      <c r="I27" s="14">
        <v>3</v>
      </c>
      <c r="J27" s="14"/>
      <c r="K27" s="14"/>
      <c r="L27" s="14"/>
      <c r="M27" s="14"/>
      <c r="N27" s="14"/>
      <c r="O27" s="14"/>
      <c r="P27" s="16">
        <f t="shared" si="9"/>
        <v>3</v>
      </c>
      <c r="Q27" s="17"/>
      <c r="R27" s="17"/>
      <c r="S27" s="17"/>
      <c r="T27" s="17"/>
      <c r="U27" s="17"/>
      <c r="V27" s="17"/>
      <c r="W27" s="17"/>
      <c r="X27" s="17"/>
      <c r="Y27" s="18">
        <f t="shared" si="10"/>
        <v>0</v>
      </c>
      <c r="Z27" s="19">
        <f t="shared" si="11"/>
        <v>0</v>
      </c>
      <c r="AA27" s="20">
        <f t="shared" si="12"/>
        <v>0</v>
      </c>
      <c r="AB27" s="21">
        <f t="shared" si="13"/>
        <v>0</v>
      </c>
      <c r="AC27" s="22">
        <f t="shared" si="14"/>
        <v>0</v>
      </c>
      <c r="AD27" s="20">
        <f t="shared" si="15"/>
        <v>3</v>
      </c>
      <c r="AE27" s="23">
        <f t="shared" si="16"/>
        <v>3</v>
      </c>
      <c r="AF27" t="s">
        <v>117</v>
      </c>
    </row>
    <row r="28" spans="1:36" ht="14.25" customHeight="1" x14ac:dyDescent="0.25">
      <c r="P28" t="str">
        <f t="shared" ref="P28:P34" si="17">IFERROR((IF(ISNUMBER(C28),C28*3,0)+IF(ISNUMBER(D28),D28*3,0)+IF(ISNUMBER(E28),E28*3,0)+IF(ISNUMBER(F28),F28*3,0)+IF(ISNUMBER(G28),G28*3,0)+IF(ISNUMBER(H28),H28*3,0)+IF(ISNUMBER(I28),I28*2,0)+IF(ISNUMBER(J28),J28*2,0)+IF(ISNUMBER(K28),K28*2,0)+IF(ISNUMBER(L28),L28*2,0)+IF(ISNUMBER(M28),M28*2,0)+IF(ISNUMBER(N28),N28*2,0)+IF(ISNUMBER(O28),O28*1,0))/(IF(ISNUMBER(C28),3,0)+IF(ISNUMBER(D28),3,0)+IF(ISNUMBER(E28),3,0)+IF(ISNUMBER(F28),3,0)+IF(ISNUMBER(G28),3,0)+IF(ISNUMBER(H28),3,0)+IF(ISNUMBER(I28),2,0)+IF(ISNUMBER(J28),2,0)+IF(ISNUMBER(K28),2,0)+IF(ISNUMBER(L28),2,0)+IF(ISNUMBER(M28),2,0)+IF(ISNUMBER(N28),2,0)+IF(ISNUMBER(O28),1,0)),"")</f>
        <v/>
      </c>
      <c r="Y28" s="33" t="str">
        <f t="shared" ref="Y28:Y34" si="18">IF(ISBLANK(B28),"",COUNTIF(Q28:X28,"&gt;0")+IF(UPPER(AI28)="PODVOD",1,IF(ISNUMBER(AI28),AI28,0)))</f>
        <v/>
      </c>
      <c r="Z28" s="34" t="str">
        <f t="shared" ref="Z28:Z34" si="19">IF(ISBLANK(B28),"",IF(Y28=0,0,Y28/$AH$2))</f>
        <v/>
      </c>
      <c r="AA28" s="33" t="str">
        <f t="shared" ref="AA28:AA34" si="20">IF(ISBLANK(B28),"",IF(Y28&lt;3,0,IF((IF(ISNUMBER(Q28),IF(Q28&gt;=60,1,0),0)+IF(ISNUMBER(R28),IF(R28&gt;=60,1,0),0)+IF(ISNUMBER(S28),IF(S28&gt;=60,1,0),0)+IF(ISNUMBER(T28),IF(T28&gt;=60,1,0),0)+IF(ISNUMBER(U28),IF(U28&gt;=60,1,0),0)+IF(ISNUMBER(V28),IF(V28&gt;=60,1,0),0)+IF(ISNUMBER(W28),IF(W28&gt;=60,1,0),0)+IF(ISNUMBER(X28),IF(X28&gt;=60,1,0),0))&gt;0,(IF(ISNUMBER(Q28),IF(Q28&gt;=90,-0.25,IF(Q28&gt;=75,-0.15,-0.1)),0)+IF(ISNUMBER(R28),IF(R28&gt;=90,-0.25,IF(R28&gt;=75,-0.15,-0.1)),0)+IF(ISNUMBER(S28),IF(S28&gt;=90,-0.25,IF(S28&gt;=75,-0.15,-0.1)),0)+IF(ISNUMBER(T28),IF(T28&gt;=90,-0.25,IF(T28&gt;=75,-0.15,-0.1)),0)+IF(ISNUMBER(U28),IF(U28&gt;=90,-0.25,IF(U28&gt;=75,-0.15,-0.1)),0)+IF(ISNUMBER(V28),IF(V28&gt;=90,-0.25,IF(V28&gt;=75,-0.15,-0.1)),0)+IF(ISNUMBER(W28),IF(W28&gt;=90,-0.25,IF(W28&gt;=75,-0.15,-0.1)),0)+IF(ISNUMBER(X28),IF(X28&gt;=90,-0.25,IF(X28&gt;=75,-0.15,-0.1)),0))/(IF(ISNUMBER(Q28),IF(Q28&gt;=60,1,0),0)+IF(ISNUMBER(R28),IF(R28&gt;=60,1,0),0)+IF(ISNUMBER(S28),IF(S28&gt;=60,1,0),0)+IF(ISNUMBER(T28),IF(T28&gt;=60,1,0),0)+IF(ISNUMBER(U28),IF(U28&gt;=60,1,0),0)+IF(ISNUMBER(V28),IF(V28&gt;=60,1,0),0)+IF(ISNUMBER(W28),IF(W28&gt;=60,1,0),0)+IF(ISNUMBER(X28),IF(X28&gt;=60,1,0),0)),0)))</f>
        <v/>
      </c>
      <c r="AB28" s="33" t="str">
        <f t="shared" ref="AB28:AB34" si="21">IF(ISBLANK(B28),"",IF(AND(Y28&gt;=3,Z28&gt;=0.75),-0.15,0))</f>
        <v/>
      </c>
      <c r="AC28" s="33" t="str">
        <f t="shared" ref="AC28:AC34" si="22">IF(ISBLANK(B28),"",IFERROR(AA28+AB28,""))</f>
        <v/>
      </c>
      <c r="AD28" t="str">
        <f t="shared" ref="AD28:AD34" si="23">IF(ISBLANK(B28),"",IF(AND(ISNUMBER(P28),ISNUMBER(AC28)),P28+AC28+AJ28,""))</f>
        <v/>
      </c>
      <c r="AE28" t="str">
        <f t="shared" ref="AE28:AE34" si="24">IF(ISBLANK(B28),"",IFERROR(IF(ISNUMBER(AD28),IF(AD28&lt;=1.5,1,IF(AD28&lt;=2.5,2,IF(AD28&lt;=3.5,3,IF(AD28&lt;=4.5,4,5)))),""),""))</f>
        <v/>
      </c>
      <c r="AG28" s="30"/>
      <c r="AJ28" s="27"/>
    </row>
    <row r="29" spans="1:36" ht="14.25" customHeight="1" x14ac:dyDescent="0.25">
      <c r="A29" s="39"/>
      <c r="B29" s="40"/>
      <c r="P29" t="str">
        <f t="shared" si="17"/>
        <v/>
      </c>
      <c r="Y29" s="33" t="str">
        <f t="shared" si="18"/>
        <v/>
      </c>
      <c r="Z29" s="34" t="str">
        <f t="shared" si="19"/>
        <v/>
      </c>
      <c r="AA29" s="33" t="str">
        <f t="shared" si="20"/>
        <v/>
      </c>
      <c r="AB29" s="33" t="str">
        <f t="shared" si="21"/>
        <v/>
      </c>
      <c r="AC29" s="33" t="str">
        <f t="shared" si="22"/>
        <v/>
      </c>
      <c r="AD29" t="str">
        <f t="shared" si="23"/>
        <v/>
      </c>
      <c r="AE29" t="str">
        <f t="shared" si="24"/>
        <v/>
      </c>
      <c r="AG29" s="35"/>
      <c r="AJ29" s="27"/>
    </row>
    <row r="30" spans="1:36" ht="14.25" customHeight="1" x14ac:dyDescent="0.25">
      <c r="B30" s="40"/>
      <c r="P30" t="str">
        <f t="shared" si="17"/>
        <v/>
      </c>
      <c r="Y30" s="33" t="str">
        <f t="shared" si="18"/>
        <v/>
      </c>
      <c r="Z30" s="34" t="str">
        <f t="shared" si="19"/>
        <v/>
      </c>
      <c r="AA30" s="33" t="str">
        <f t="shared" si="20"/>
        <v/>
      </c>
      <c r="AB30" s="33" t="str">
        <f t="shared" si="21"/>
        <v/>
      </c>
      <c r="AC30" s="33" t="str">
        <f t="shared" si="22"/>
        <v/>
      </c>
      <c r="AD30" t="str">
        <f t="shared" si="23"/>
        <v/>
      </c>
      <c r="AE30" t="str">
        <f t="shared" si="24"/>
        <v/>
      </c>
      <c r="AG30" s="36"/>
      <c r="AJ30" s="27"/>
    </row>
    <row r="31" spans="1:36" ht="14.25" customHeight="1" x14ac:dyDescent="0.25">
      <c r="B31" s="40"/>
      <c r="P31" t="str">
        <f t="shared" si="17"/>
        <v/>
      </c>
      <c r="Y31" s="33" t="str">
        <f t="shared" si="18"/>
        <v/>
      </c>
      <c r="Z31" s="34" t="str">
        <f t="shared" si="19"/>
        <v/>
      </c>
      <c r="AA31" s="33" t="str">
        <f t="shared" si="20"/>
        <v/>
      </c>
      <c r="AB31" s="33" t="str">
        <f t="shared" si="21"/>
        <v/>
      </c>
      <c r="AC31" s="33" t="str">
        <f t="shared" si="22"/>
        <v/>
      </c>
      <c r="AD31" t="str">
        <f t="shared" si="23"/>
        <v/>
      </c>
      <c r="AE31" t="str">
        <f t="shared" si="24"/>
        <v/>
      </c>
      <c r="AG31" s="30"/>
      <c r="AJ31" s="27"/>
    </row>
    <row r="32" spans="1:36" ht="14.25" customHeight="1" x14ac:dyDescent="0.25">
      <c r="B32" s="40"/>
      <c r="P32" t="str">
        <f t="shared" si="17"/>
        <v/>
      </c>
      <c r="Y32" s="33" t="str">
        <f t="shared" si="18"/>
        <v/>
      </c>
      <c r="Z32" s="34" t="str">
        <f t="shared" si="19"/>
        <v/>
      </c>
      <c r="AA32" s="33" t="str">
        <f t="shared" si="20"/>
        <v/>
      </c>
      <c r="AB32" s="33" t="str">
        <f t="shared" si="21"/>
        <v/>
      </c>
      <c r="AC32" s="33" t="str">
        <f t="shared" si="22"/>
        <v/>
      </c>
      <c r="AD32" t="str">
        <f t="shared" si="23"/>
        <v/>
      </c>
      <c r="AE32" t="str">
        <f t="shared" si="24"/>
        <v/>
      </c>
      <c r="AG32" s="35"/>
      <c r="AJ32" s="27"/>
    </row>
    <row r="33" spans="2:36" ht="14.25" customHeight="1" x14ac:dyDescent="0.25">
      <c r="P33" t="str">
        <f t="shared" si="17"/>
        <v/>
      </c>
      <c r="Y33" s="33" t="str">
        <f t="shared" si="18"/>
        <v/>
      </c>
      <c r="Z33" s="34" t="str">
        <f t="shared" si="19"/>
        <v/>
      </c>
      <c r="AA33" s="33" t="str">
        <f t="shared" si="20"/>
        <v/>
      </c>
      <c r="AB33" s="33" t="str">
        <f t="shared" si="21"/>
        <v/>
      </c>
      <c r="AC33" s="33" t="str">
        <f t="shared" si="22"/>
        <v/>
      </c>
      <c r="AD33" t="str">
        <f t="shared" si="23"/>
        <v/>
      </c>
      <c r="AE33" t="str">
        <f t="shared" si="24"/>
        <v/>
      </c>
      <c r="AG33" s="36"/>
      <c r="AJ33" s="27"/>
    </row>
    <row r="34" spans="2:36" ht="14.25" customHeight="1" x14ac:dyDescent="0.25">
      <c r="B34" s="41"/>
      <c r="P34" t="str">
        <f t="shared" si="17"/>
        <v/>
      </c>
      <c r="Y34" s="33" t="str">
        <f t="shared" si="18"/>
        <v/>
      </c>
      <c r="Z34" s="34" t="str">
        <f t="shared" si="19"/>
        <v/>
      </c>
      <c r="AA34" s="33" t="str">
        <f t="shared" si="20"/>
        <v/>
      </c>
      <c r="AB34" s="33" t="str">
        <f t="shared" si="21"/>
        <v/>
      </c>
      <c r="AC34" s="33" t="str">
        <f t="shared" si="22"/>
        <v/>
      </c>
      <c r="AD34" t="str">
        <f t="shared" si="23"/>
        <v/>
      </c>
      <c r="AE34" t="str">
        <f t="shared" si="24"/>
        <v/>
      </c>
      <c r="AG34" s="30"/>
      <c r="AJ34" s="27"/>
    </row>
    <row r="35" spans="2:36" ht="14.25" customHeight="1" x14ac:dyDescent="0.25">
      <c r="B35" s="40"/>
      <c r="AG35" s="35"/>
    </row>
    <row r="36" spans="2:36" ht="14.25" customHeight="1" x14ac:dyDescent="0.25">
      <c r="B36" s="40"/>
      <c r="F36" s="30"/>
      <c r="AG36" s="36"/>
    </row>
    <row r="37" spans="2:36" ht="14.25" customHeight="1" x14ac:dyDescent="0.25">
      <c r="B37" s="41"/>
      <c r="F37" s="30"/>
      <c r="AG37" s="36"/>
    </row>
    <row r="38" spans="2:36" ht="14.25" customHeight="1" x14ac:dyDescent="0.25">
      <c r="F38" s="30"/>
      <c r="AG38" s="36"/>
    </row>
    <row r="39" spans="2:36" ht="14.25" customHeight="1" x14ac:dyDescent="0.25">
      <c r="F39" s="30"/>
      <c r="AG39" s="36"/>
    </row>
    <row r="40" spans="2:36" ht="14.25" customHeight="1" x14ac:dyDescent="0.25">
      <c r="F40" s="30"/>
    </row>
    <row r="41" spans="2:36" ht="14.25" customHeight="1" x14ac:dyDescent="0.25">
      <c r="F41" s="30"/>
    </row>
    <row r="42" spans="2:36" ht="14.25" customHeight="1" x14ac:dyDescent="0.25">
      <c r="F42" s="30"/>
    </row>
    <row r="43" spans="2:36" ht="14.25" customHeight="1" x14ac:dyDescent="0.25">
      <c r="F43" s="30"/>
    </row>
    <row r="44" spans="2:36" ht="14.25" customHeight="1" x14ac:dyDescent="0.25">
      <c r="F44" s="30"/>
    </row>
    <row r="45" spans="2:36" ht="14.25" customHeight="1" x14ac:dyDescent="0.25">
      <c r="F45" s="30"/>
    </row>
    <row r="46" spans="2:36" ht="14.25" customHeight="1" x14ac:dyDescent="0.25">
      <c r="F46" s="30"/>
    </row>
    <row r="47" spans="2:36" ht="14.25" customHeight="1" x14ac:dyDescent="0.25">
      <c r="F47" s="30"/>
    </row>
    <row r="48" spans="2:36" ht="14.25" customHeight="1" x14ac:dyDescent="0.25">
      <c r="F48" s="30"/>
    </row>
    <row r="49" spans="1:16" ht="14.25" customHeight="1" x14ac:dyDescent="0.25">
      <c r="F49" s="30"/>
    </row>
    <row r="50" spans="1:16" ht="14.25" customHeight="1" x14ac:dyDescent="0.25">
      <c r="A50" s="31">
        <v>37</v>
      </c>
      <c r="B50" s="32" t="s">
        <v>95</v>
      </c>
      <c r="P50" t="str">
        <f t="shared" ref="P50:P61" si="25">IFERROR((IF(ISNUMBER(C50),C50*3,0)+IF(ISNUMBER(D50),D50*3,0)+IF(ISNUMBER(E50),E50*3,0)+IF(ISNUMBER(F50),F50*3,0)+IF(ISNUMBER(G50),G50*3,0)+IF(ISNUMBER(H50),H50*3,0)+IF(ISNUMBER(I50),I50*2,0)+IF(ISNUMBER(J50),J50*2,0)+IF(ISNUMBER(K50),K50*2,0)+IF(ISNUMBER(L50),L50*2,0)+IF(ISNUMBER(M50),M50*2,0)+IF(ISNUMBER(N50),N50*2,0)+IF(ISNUMBER(O50),O50*1,0))/(IF(ISNUMBER(C50),3,0)+IF(ISNUMBER(D50),3,0)+IF(ISNUMBER(E50),3,0)+IF(ISNUMBER(F50),3,0)+IF(ISNUMBER(G50),3,0)+IF(ISNUMBER(H50),3,0)+IF(ISNUMBER(I50),2,0)+IF(ISNUMBER(J50),2,0)+IF(ISNUMBER(K50),2,0)+IF(ISNUMBER(L50),2,0)+IF(ISNUMBER(M50),2,0)+IF(ISNUMBER(N50),2,0)+IF(ISNUMBER(O50),1,0)),"")</f>
        <v/>
      </c>
    </row>
    <row r="51" spans="1:16" ht="14.25" customHeight="1" x14ac:dyDescent="0.25">
      <c r="A51">
        <v>38</v>
      </c>
      <c r="B51" t="s">
        <v>96</v>
      </c>
      <c r="P51" t="str">
        <f t="shared" si="25"/>
        <v/>
      </c>
    </row>
    <row r="52" spans="1:16" ht="14.25" customHeight="1" x14ac:dyDescent="0.25">
      <c r="A52">
        <v>39</v>
      </c>
      <c r="B52" t="s">
        <v>97</v>
      </c>
      <c r="P52" t="str">
        <f t="shared" si="25"/>
        <v/>
      </c>
    </row>
    <row r="53" spans="1:16" ht="14.25" customHeight="1" x14ac:dyDescent="0.25">
      <c r="A53">
        <v>40</v>
      </c>
      <c r="B53" t="s">
        <v>98</v>
      </c>
      <c r="P53" t="str">
        <f t="shared" si="25"/>
        <v/>
      </c>
    </row>
    <row r="54" spans="1:16" ht="14.25" customHeight="1" x14ac:dyDescent="0.25">
      <c r="A54" s="37">
        <v>41</v>
      </c>
      <c r="B54" s="38" t="s">
        <v>99</v>
      </c>
      <c r="P54" t="str">
        <f t="shared" si="25"/>
        <v/>
      </c>
    </row>
    <row r="55" spans="1:16" ht="14.25" customHeight="1" x14ac:dyDescent="0.25">
      <c r="A55">
        <v>47</v>
      </c>
      <c r="B55" t="s">
        <v>100</v>
      </c>
      <c r="P55" t="str">
        <f t="shared" si="25"/>
        <v/>
      </c>
    </row>
    <row r="56" spans="1:16" x14ac:dyDescent="0.25">
      <c r="A56" s="39">
        <v>48</v>
      </c>
      <c r="B56" s="40" t="s">
        <v>101</v>
      </c>
      <c r="P56" t="str">
        <f t="shared" si="25"/>
        <v/>
      </c>
    </row>
    <row r="57" spans="1:16" x14ac:dyDescent="0.25">
      <c r="B57" s="40" t="s">
        <v>102</v>
      </c>
      <c r="P57" t="str">
        <f t="shared" si="25"/>
        <v/>
      </c>
    </row>
    <row r="58" spans="1:16" x14ac:dyDescent="0.25">
      <c r="B58" s="40" t="s">
        <v>103</v>
      </c>
      <c r="P58" t="str">
        <f t="shared" si="25"/>
        <v/>
      </c>
    </row>
    <row r="59" spans="1:16" x14ac:dyDescent="0.25">
      <c r="B59" s="40" t="s">
        <v>104</v>
      </c>
      <c r="P59" t="str">
        <f t="shared" si="25"/>
        <v/>
      </c>
    </row>
    <row r="60" spans="1:16" x14ac:dyDescent="0.25">
      <c r="B60" t="s">
        <v>105</v>
      </c>
      <c r="P60" t="str">
        <f t="shared" si="25"/>
        <v/>
      </c>
    </row>
    <row r="61" spans="1:16" x14ac:dyDescent="0.25">
      <c r="B61" s="41" t="s">
        <v>106</v>
      </c>
      <c r="P61" t="str">
        <f t="shared" si="25"/>
        <v/>
      </c>
    </row>
    <row r="62" spans="1:16" x14ac:dyDescent="0.25">
      <c r="B62" s="40"/>
    </row>
    <row r="63" spans="1:16" x14ac:dyDescent="0.25">
      <c r="B63" s="40" t="s">
        <v>107</v>
      </c>
      <c r="F63" s="30"/>
    </row>
    <row r="64" spans="1:16" x14ac:dyDescent="0.25">
      <c r="B64" s="41" t="s">
        <v>108</v>
      </c>
      <c r="F64" s="30"/>
    </row>
    <row r="65" spans="2:6" x14ac:dyDescent="0.25">
      <c r="B65" t="s">
        <v>109</v>
      </c>
      <c r="F65" s="30"/>
    </row>
    <row r="66" spans="2:6" x14ac:dyDescent="0.25">
      <c r="B66" t="s">
        <v>110</v>
      </c>
      <c r="F66" s="30"/>
    </row>
    <row r="67" spans="2:6" x14ac:dyDescent="0.25">
      <c r="F67" s="30"/>
    </row>
  </sheetData>
  <conditionalFormatting sqref="C2:N27">
    <cfRule type="containsText" dxfId="5" priority="6" operator="containsText" text="5">
      <formula>NOT(ISERROR(SEARCH("5",C2)))</formula>
    </cfRule>
    <cfRule type="containsText" dxfId="4" priority="7" operator="containsText" text="N">
      <formula>NOT(ISERROR(SEARCH("N",C2)))</formula>
    </cfRule>
  </conditionalFormatting>
  <conditionalFormatting sqref="O7">
    <cfRule type="containsText" dxfId="3" priority="4" operator="containsText" text="5">
      <formula>NOT(ISERROR(SEARCH("5",O7)))</formula>
    </cfRule>
    <cfRule type="containsText" dxfId="2" priority="5" operator="containsText" text="N">
      <formula>NOT(ISERROR(SEARCH("N",O7)))</formula>
    </cfRule>
  </conditionalFormatting>
  <conditionalFormatting sqref="O16:O17">
    <cfRule type="containsText" dxfId="1" priority="2" operator="containsText" text="5">
      <formula>NOT(ISERROR(SEARCH("5",O16)))</formula>
    </cfRule>
    <cfRule type="containsText" dxfId="0" priority="3" operator="containsText" text="N">
      <formula>NOT(ISERROR(SEARCH("N",O16)))</formula>
    </cfRule>
  </conditionalFormatting>
  <hyperlinks>
    <hyperlink ref="AF2" r:id="rId1" xr:uid="{177C0B2E-6018-42DA-A7CC-25E677B753FF}"/>
    <hyperlink ref="AF22" r:id="rId2" xr:uid="{79EBCD4D-4155-43CD-B559-E589B5BB5C2A}"/>
    <hyperlink ref="AF23" r:id="rId3" xr:uid="{4C768F4F-123F-42E6-860F-7BC5820A8EA2}"/>
    <hyperlink ref="AF24" r:id="rId4" xr:uid="{C13C4E83-966B-48B6-BCA4-3AC8576AFD55}"/>
    <hyperlink ref="AF25" r:id="rId5" xr:uid="{7CFF2A95-E23E-4922-A48F-401141F2A4A9}"/>
    <hyperlink ref="AF26" r:id="rId6" xr:uid="{8CD0370F-97DC-44D0-B131-4000DDC9E2BA}"/>
    <hyperlink ref="AF27" r:id="rId7" xr:uid="{E142F7C1-709A-4216-A6F3-B2156C06474E}"/>
  </hyperlinks>
  <pageMargins left="0.7" right="0.7" top="0.78749999999999998" bottom="0.78749999999999998" header="0.511811023622047" footer="0.511811023622047"/>
  <pageSetup paperSize="9" orientation="portrait" horizontalDpi="300" verticalDpi="300" r:id="rId8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6SA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Hynek</cp:lastModifiedBy>
  <cp:revision>0</cp:revision>
  <dcterms:created xsi:type="dcterms:W3CDTF">2026-01-11T11:49:59Z</dcterms:created>
  <dcterms:modified xsi:type="dcterms:W3CDTF">2026-09-23T10:58:47Z</dcterms:modified>
  <dc:language>en-US</dc:language>
</cp:coreProperties>
</file>