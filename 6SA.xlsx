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gymberoun-my.sharepoint.com/personal/hynek_gymberoun_cz/Documents/A_skola_26-27/BIO/CLAUDE/klasifikace/archy/"/>
    </mc:Choice>
  </mc:AlternateContent>
  <xr:revisionPtr revIDLastSave="235" documentId="11_ED5B8B33857DF301B287341286E79A8CF62D91C4" xr6:coauthVersionLast="47" xr6:coauthVersionMax="47" xr10:uidLastSave="{26A9AFCE-4D81-4225-BA35-CA83C23B94FE}"/>
  <bookViews>
    <workbookView xWindow="-110" yWindow="-110" windowWidth="38620" windowHeight="21820" tabRatio="500" xr2:uid="{00000000-000D-0000-FFFF-FFFF00000000}"/>
  </bookViews>
  <sheets>
    <sheet name="5K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2" i="1" l="1"/>
  <c r="P42" i="1"/>
  <c r="Y41" i="1"/>
  <c r="P41" i="1"/>
  <c r="Y40" i="1"/>
  <c r="P40" i="1"/>
  <c r="Y39" i="1"/>
  <c r="P39" i="1"/>
  <c r="Y38" i="1"/>
  <c r="P38" i="1"/>
  <c r="Y37" i="1"/>
  <c r="P37" i="1"/>
  <c r="Y36" i="1"/>
  <c r="P36" i="1"/>
  <c r="Y35" i="1"/>
  <c r="P35" i="1"/>
  <c r="Y34" i="1"/>
  <c r="P34" i="1"/>
  <c r="Y33" i="1"/>
  <c r="Z33" i="1" s="1"/>
  <c r="P33" i="1"/>
  <c r="Y32" i="1"/>
  <c r="P32" i="1"/>
  <c r="Y31" i="1"/>
  <c r="AA31" i="1" s="1"/>
  <c r="P31" i="1"/>
  <c r="AE30" i="1"/>
  <c r="AD30" i="1"/>
  <c r="AC30" i="1"/>
  <c r="AB30" i="1"/>
  <c r="AA30" i="1"/>
  <c r="Z30" i="1"/>
  <c r="Y30" i="1"/>
  <c r="P30" i="1"/>
  <c r="AJ29" i="1"/>
  <c r="Y29" i="1"/>
  <c r="P29" i="1"/>
  <c r="AJ28" i="1"/>
  <c r="Y28" i="1"/>
  <c r="AA28" i="1" s="1"/>
  <c r="P28" i="1"/>
  <c r="AJ27" i="1"/>
  <c r="Y27" i="1"/>
  <c r="P27" i="1"/>
  <c r="AJ26" i="1"/>
  <c r="Y26" i="1"/>
  <c r="AA26" i="1" s="1"/>
  <c r="P26" i="1"/>
  <c r="AJ25" i="1"/>
  <c r="Y25" i="1"/>
  <c r="P25" i="1"/>
  <c r="AD25" i="1" s="1"/>
  <c r="AJ24" i="1"/>
  <c r="Y24" i="1"/>
  <c r="P24" i="1"/>
  <c r="AJ23" i="1"/>
  <c r="Y23" i="1"/>
  <c r="Z23" i="1" s="1"/>
  <c r="P23" i="1"/>
  <c r="AJ22" i="1"/>
  <c r="Y22" i="1"/>
  <c r="AA22" i="1" s="1"/>
  <c r="P22" i="1"/>
  <c r="AJ21" i="1"/>
  <c r="Y21" i="1"/>
  <c r="P21" i="1"/>
  <c r="AJ20" i="1"/>
  <c r="Y20" i="1"/>
  <c r="P20" i="1"/>
  <c r="AJ19" i="1"/>
  <c r="Y19" i="1"/>
  <c r="AA19" i="1" s="1"/>
  <c r="P19" i="1"/>
  <c r="AJ18" i="1"/>
  <c r="Y18" i="1"/>
  <c r="AA18" i="1" s="1"/>
  <c r="P18" i="1"/>
  <c r="AD18" i="1" s="1"/>
  <c r="AJ17" i="1"/>
  <c r="Y17" i="1"/>
  <c r="P17" i="1"/>
  <c r="AJ16" i="1"/>
  <c r="Y16" i="1"/>
  <c r="AA16" i="1" s="1"/>
  <c r="P16" i="1"/>
  <c r="AJ15" i="1"/>
  <c r="Y15" i="1"/>
  <c r="P15" i="1"/>
  <c r="AJ14" i="1"/>
  <c r="Y14" i="1"/>
  <c r="AA14" i="1" s="1"/>
  <c r="P14" i="1"/>
  <c r="AJ13" i="1"/>
  <c r="Y13" i="1"/>
  <c r="P13" i="1"/>
  <c r="AJ12" i="1"/>
  <c r="Y12" i="1"/>
  <c r="AA12" i="1" s="1"/>
  <c r="P12" i="1"/>
  <c r="AJ11" i="1"/>
  <c r="Y11" i="1"/>
  <c r="P11" i="1"/>
  <c r="AJ10" i="1"/>
  <c r="Y10" i="1"/>
  <c r="P10" i="1"/>
  <c r="AJ9" i="1"/>
  <c r="Y9" i="1"/>
  <c r="P9" i="1"/>
  <c r="AD9" i="1" s="1"/>
  <c r="AJ8" i="1"/>
  <c r="Y8" i="1"/>
  <c r="AA8" i="1" s="1"/>
  <c r="P8" i="1"/>
  <c r="AJ7" i="1"/>
  <c r="Y7" i="1"/>
  <c r="P7" i="1"/>
  <c r="AJ6" i="1"/>
  <c r="Y6" i="1"/>
  <c r="AA6" i="1" s="1"/>
  <c r="P6" i="1"/>
  <c r="AD6" i="1" s="1"/>
  <c r="AJ5" i="1"/>
  <c r="Y5" i="1"/>
  <c r="P5" i="1"/>
  <c r="AD5" i="1" s="1"/>
  <c r="AJ4" i="1"/>
  <c r="Y4" i="1"/>
  <c r="P4" i="1"/>
  <c r="AJ3" i="1"/>
  <c r="Y3" i="1"/>
  <c r="P3" i="1"/>
  <c r="AJ2" i="1"/>
  <c r="AH2" i="1"/>
  <c r="Y2" i="1"/>
  <c r="P2" i="1"/>
  <c r="Z32" i="1" l="1"/>
  <c r="AB32" i="1" s="1"/>
  <c r="AA32" i="1"/>
  <c r="AB33" i="1"/>
  <c r="Z27" i="1"/>
  <c r="AB27" i="1" s="1"/>
  <c r="AA27" i="1"/>
  <c r="AA24" i="1"/>
  <c r="Z24" i="1"/>
  <c r="AB24" i="1" s="1"/>
  <c r="AA20" i="1"/>
  <c r="Z20" i="1"/>
  <c r="AB20" i="1" s="1"/>
  <c r="Z11" i="1"/>
  <c r="AB11" i="1" s="1"/>
  <c r="AA11" i="1"/>
  <c r="AA10" i="1"/>
  <c r="Z10" i="1"/>
  <c r="AB10" i="1" s="1"/>
  <c r="Z4" i="1"/>
  <c r="AB4" i="1" s="1"/>
  <c r="AA4" i="1"/>
  <c r="Z3" i="1"/>
  <c r="AB3" i="1" s="1"/>
  <c r="AA3" i="1"/>
  <c r="Z26" i="1"/>
  <c r="AB26" i="1" s="1"/>
  <c r="AC26" i="1" s="1"/>
  <c r="AD26" i="1" s="1"/>
  <c r="AE26" i="1" s="1"/>
  <c r="Z16" i="1"/>
  <c r="AB16" i="1" s="1"/>
  <c r="AC16" i="1" s="1"/>
  <c r="AD16" i="1" s="1"/>
  <c r="AE16" i="1" s="1"/>
  <c r="Z7" i="1"/>
  <c r="AB7" i="1" s="1"/>
  <c r="Z19" i="1"/>
  <c r="AB19" i="1" s="1"/>
  <c r="AC19" i="1" s="1"/>
  <c r="AD19" i="1" s="1"/>
  <c r="AE19" i="1" s="1"/>
  <c r="Z12" i="1"/>
  <c r="AB12" i="1" s="1"/>
  <c r="AC12" i="1" s="1"/>
  <c r="AD12" i="1" s="1"/>
  <c r="AE12" i="1" s="1"/>
  <c r="Z28" i="1"/>
  <c r="AB28" i="1" s="1"/>
  <c r="AC28" i="1" s="1"/>
  <c r="AD28" i="1" s="1"/>
  <c r="AE28" i="1" s="1"/>
  <c r="Z8" i="1"/>
  <c r="AB8" i="1" s="1"/>
  <c r="AC8" i="1" s="1"/>
  <c r="AD8" i="1" s="1"/>
  <c r="AE8" i="1" s="1"/>
  <c r="Z15" i="1"/>
  <c r="AB15" i="1" s="1"/>
  <c r="Z6" i="1"/>
  <c r="AB6" i="1" s="1"/>
  <c r="AC6" i="1" s="1"/>
  <c r="AE6" i="1" s="1"/>
  <c r="Z13" i="1"/>
  <c r="AB13" i="1" s="1"/>
  <c r="AA7" i="1"/>
  <c r="Z2" i="1"/>
  <c r="AB2" i="1" s="1"/>
  <c r="Z9" i="1"/>
  <c r="AB9" i="1" s="1"/>
  <c r="Z17" i="1"/>
  <c r="AB17" i="1" s="1"/>
  <c r="AB23" i="1"/>
  <c r="Z25" i="1"/>
  <c r="AB25" i="1" s="1"/>
  <c r="AA33" i="1"/>
  <c r="Z34" i="1"/>
  <c r="AB34" i="1" s="1"/>
  <c r="Z21" i="1"/>
  <c r="AB21" i="1" s="1"/>
  <c r="AA5" i="1"/>
  <c r="AA2" i="1"/>
  <c r="AA17" i="1"/>
  <c r="Z18" i="1"/>
  <c r="AB18" i="1" s="1"/>
  <c r="AC18" i="1" s="1"/>
  <c r="AE18" i="1" s="1"/>
  <c r="AA25" i="1"/>
  <c r="AA34" i="1"/>
  <c r="Z35" i="1"/>
  <c r="AB35" i="1" s="1"/>
  <c r="Z36" i="1"/>
  <c r="AB36" i="1" s="1"/>
  <c r="Z37" i="1"/>
  <c r="AB37" i="1" s="1"/>
  <c r="Z38" i="1"/>
  <c r="AB38" i="1" s="1"/>
  <c r="Z39" i="1"/>
  <c r="AB39" i="1" s="1"/>
  <c r="Z40" i="1"/>
  <c r="AB40" i="1" s="1"/>
  <c r="Z41" i="1"/>
  <c r="AB41" i="1" s="1"/>
  <c r="Z42" i="1"/>
  <c r="AB42" i="1" s="1"/>
  <c r="Z14" i="1"/>
  <c r="AB14" i="1" s="1"/>
  <c r="AC14" i="1" s="1"/>
  <c r="AD14" i="1" s="1"/>
  <c r="AE14" i="1" s="1"/>
  <c r="AA15" i="1"/>
  <c r="AA23" i="1"/>
  <c r="AA9" i="1"/>
  <c r="AA35" i="1"/>
  <c r="AA36" i="1"/>
  <c r="AA37" i="1"/>
  <c r="AA38" i="1"/>
  <c r="AA39" i="1"/>
  <c r="AA40" i="1"/>
  <c r="AA41" i="1"/>
  <c r="AA42" i="1"/>
  <c r="Z5" i="1"/>
  <c r="AB5" i="1" s="1"/>
  <c r="Z29" i="1"/>
  <c r="AB29" i="1" s="1"/>
  <c r="AA13" i="1"/>
  <c r="AA21" i="1"/>
  <c r="Z22" i="1"/>
  <c r="AB22" i="1" s="1"/>
  <c r="AC22" i="1" s="1"/>
  <c r="AD22" i="1" s="1"/>
  <c r="AE22" i="1" s="1"/>
  <c r="AA29" i="1"/>
  <c r="Z31" i="1"/>
  <c r="AB31" i="1" s="1"/>
  <c r="AC31" i="1" s="1"/>
  <c r="AE31" i="1" s="1"/>
  <c r="AC11" i="1" l="1"/>
  <c r="AD11" i="1" s="1"/>
  <c r="AE11" i="1" s="1"/>
  <c r="AC24" i="1"/>
  <c r="AD24" i="1" s="1"/>
  <c r="AE24" i="1" s="1"/>
  <c r="AC27" i="1"/>
  <c r="AD27" i="1" s="1"/>
  <c r="AE27" i="1" s="1"/>
  <c r="AC20" i="1"/>
  <c r="AD20" i="1" s="1"/>
  <c r="AE20" i="1" s="1"/>
  <c r="AC10" i="1"/>
  <c r="AD10" i="1" s="1"/>
  <c r="AE10" i="1" s="1"/>
  <c r="AC4" i="1"/>
  <c r="AD4" i="1" s="1"/>
  <c r="AE4" i="1" s="1"/>
  <c r="AC32" i="1"/>
  <c r="AE32" i="1" s="1"/>
  <c r="AC3" i="1"/>
  <c r="AD3" i="1" s="1"/>
  <c r="AE3" i="1" s="1"/>
  <c r="AC33" i="1"/>
  <c r="AE33" i="1" s="1"/>
  <c r="AC15" i="1"/>
  <c r="AD15" i="1" s="1"/>
  <c r="AE15" i="1" s="1"/>
  <c r="AC7" i="1"/>
  <c r="AD7" i="1" s="1"/>
  <c r="AE7" i="1" s="1"/>
  <c r="AC41" i="1"/>
  <c r="AD41" i="1" s="1"/>
  <c r="AE41" i="1" s="1"/>
  <c r="AC23" i="1"/>
  <c r="AD23" i="1" s="1"/>
  <c r="AE23" i="1" s="1"/>
  <c r="AC2" i="1"/>
  <c r="AD2" i="1" s="1"/>
  <c r="AE2" i="1" s="1"/>
  <c r="AC29" i="1"/>
  <c r="AD29" i="1" s="1"/>
  <c r="AE29" i="1" s="1"/>
  <c r="AC40" i="1"/>
  <c r="AD40" i="1" s="1"/>
  <c r="AE40" i="1" s="1"/>
  <c r="AC17" i="1"/>
  <c r="AD17" i="1" s="1"/>
  <c r="AE17" i="1" s="1"/>
  <c r="AC39" i="1"/>
  <c r="AD39" i="1" s="1"/>
  <c r="AE39" i="1" s="1"/>
  <c r="AC21" i="1"/>
  <c r="AD21" i="1" s="1"/>
  <c r="AE21" i="1" s="1"/>
  <c r="AC38" i="1"/>
  <c r="AD38" i="1" s="1"/>
  <c r="AE38" i="1" s="1"/>
  <c r="AC5" i="1"/>
  <c r="AE5" i="1" s="1"/>
  <c r="AC13" i="1"/>
  <c r="AD13" i="1" s="1"/>
  <c r="AE13" i="1" s="1"/>
  <c r="AC36" i="1"/>
  <c r="AD36" i="1" s="1"/>
  <c r="AE36" i="1" s="1"/>
  <c r="AC35" i="1"/>
  <c r="AE35" i="1" s="1"/>
  <c r="AC34" i="1"/>
  <c r="AE34" i="1" s="1"/>
  <c r="AC37" i="1"/>
  <c r="AD37" i="1" s="1"/>
  <c r="AE37" i="1" s="1"/>
  <c r="AC42" i="1"/>
  <c r="AD42" i="1" s="1"/>
  <c r="AE42" i="1" s="1"/>
  <c r="AC9" i="1"/>
  <c r="AE9" i="1" s="1"/>
  <c r="AC25" i="1"/>
  <c r="AE2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  <author>Ivan H</author>
  </authors>
  <commentList>
    <comment ref="I1" authorId="0" shapeId="0" xr:uid="{00000000-0006-0000-0000-000004000000}">
      <text>
        <r>
          <rPr>
            <sz val="11"/>
            <color theme="1"/>
            <rFont val="Calibri"/>
            <family val="2"/>
            <charset val="1"/>
          </rPr>
          <t xml:space="preserve">houby a lišejníky
</t>
        </r>
      </text>
    </comment>
    <comment ref="Q1" authorId="1" shapeId="0" xr:uid="{568BA9B4-96B2-4A31-AD93-32A368E10DD0}">
      <text>
        <r>
          <rPr>
            <b/>
            <sz val="9"/>
            <color indexed="81"/>
            <rFont val="Tahoma"/>
            <charset val="1"/>
          </rPr>
          <t>Ivan H:</t>
        </r>
        <r>
          <rPr>
            <sz val="9"/>
            <color indexed="81"/>
            <rFont val="Tahoma"/>
            <charset val="1"/>
          </rPr>
          <t xml:space="preserve">
houby a lišejníky
</t>
        </r>
      </text>
    </comment>
  </commentList>
</comments>
</file>

<file path=xl/sharedStrings.xml><?xml version="1.0" encoding="utf-8"?>
<sst xmlns="http://schemas.openxmlformats.org/spreadsheetml/2006/main" count="144" uniqueCount="140">
  <si>
    <t>Poř. č.</t>
  </si>
  <si>
    <t>Příjmení</t>
  </si>
  <si>
    <t>VT1</t>
  </si>
  <si>
    <t>VT2</t>
  </si>
  <si>
    <t>VT3</t>
  </si>
  <si>
    <t>VT4</t>
  </si>
  <si>
    <t>VT5</t>
  </si>
  <si>
    <t xml:space="preserve">VT6
</t>
  </si>
  <si>
    <t>MT1</t>
  </si>
  <si>
    <t>MT2</t>
  </si>
  <si>
    <t>MT3</t>
  </si>
  <si>
    <t>MT4</t>
  </si>
  <si>
    <t>LP</t>
  </si>
  <si>
    <t>Vážený
průměr</t>
  </si>
  <si>
    <t>PL1
(%)</t>
  </si>
  <si>
    <t>PL2
(%)</t>
  </si>
  <si>
    <t>PL3
(%)</t>
  </si>
  <si>
    <t>PL4
(%)</t>
  </si>
  <si>
    <t>PL5
(%)</t>
  </si>
  <si>
    <t>PL6
(%)</t>
  </si>
  <si>
    <t>PL7
(%)</t>
  </si>
  <si>
    <t>PL8
(%)</t>
  </si>
  <si>
    <t>Počet
PL</t>
  </si>
  <si>
    <t>%
PL</t>
  </si>
  <si>
    <t>Průměr
bonusů</t>
  </si>
  <si>
    <t>Bonus
75%+</t>
  </si>
  <si>
    <t>Celkový
bonus</t>
  </si>
  <si>
    <t>Finální
průměr</t>
  </si>
  <si>
    <t>ZNÁMKA</t>
  </si>
  <si>
    <t>email</t>
  </si>
  <si>
    <t>PIN</t>
  </si>
  <si>
    <t>Zadaných
PL</t>
  </si>
  <si>
    <t>PODVOD
(zadej slovem)</t>
  </si>
  <si>
    <t>Podvod
(nálepka)</t>
  </si>
  <si>
    <t>Julie Andielová</t>
  </si>
  <si>
    <t>3386</t>
  </si>
  <si>
    <t>Jan Bartek</t>
  </si>
  <si>
    <t>jan_bartek@student.gymberoun.cz</t>
  </si>
  <si>
    <t>8528</t>
  </si>
  <si>
    <t>Ondřej Bielčik</t>
  </si>
  <si>
    <t>ondrej_bielcik@student.gymberoun.cz</t>
  </si>
  <si>
    <t>8453</t>
  </si>
  <si>
    <t>Barbora Bohátková</t>
  </si>
  <si>
    <t>barbora_bohatkova@student.gymberoun.cz</t>
  </si>
  <si>
    <t>3863</t>
  </si>
  <si>
    <t>Aleksander Bořil</t>
  </si>
  <si>
    <t>aleksander_boril@student.gymberoun.cz</t>
  </si>
  <si>
    <t>7439</t>
  </si>
  <si>
    <t>Kateřina Brodecká</t>
  </si>
  <si>
    <t>katerina_brodecka@student.gymberoun.cz</t>
  </si>
  <si>
    <t>6730</t>
  </si>
  <si>
    <t>Olívie Janušková</t>
  </si>
  <si>
    <t>olivie_januskova@student.gymberoun.cz</t>
  </si>
  <si>
    <t>8102</t>
  </si>
  <si>
    <t>Albert Jeránek</t>
  </si>
  <si>
    <t>albert_jeranek@student.gymberoun.cz</t>
  </si>
  <si>
    <t>9304</t>
  </si>
  <si>
    <t>Tobiáš Kaplan</t>
  </si>
  <si>
    <t>tobias_kaplan@student.gymberoun.cz</t>
  </si>
  <si>
    <t>2801</t>
  </si>
  <si>
    <t>Karolína Keprtová</t>
  </si>
  <si>
    <t>karolina_keprtova@student.gymberoun.cz</t>
  </si>
  <si>
    <t>9731</t>
  </si>
  <si>
    <t>Jáchym Kolman</t>
  </si>
  <si>
    <t>jachym_kolman@student.gymberoun.cz</t>
  </si>
  <si>
    <t>2987</t>
  </si>
  <si>
    <t>Lukáš Konvalinka</t>
  </si>
  <si>
    <t>lukas_konvalinka@student.gymberoun.cz</t>
  </si>
  <si>
    <t>2313</t>
  </si>
  <si>
    <t>Jakub Máca</t>
  </si>
  <si>
    <t>jakub_maca@student.gymberoun.cz</t>
  </si>
  <si>
    <t>8470</t>
  </si>
  <si>
    <t>Barbora Meszárošová</t>
  </si>
  <si>
    <t>barbora_meszarosova@student.gymberoun.cz</t>
  </si>
  <si>
    <t>5315</t>
  </si>
  <si>
    <t>Jarmila Mutlová</t>
  </si>
  <si>
    <t>jarmila_mutlova@student.gymberoun.cz</t>
  </si>
  <si>
    <t>1784</t>
  </si>
  <si>
    <t>Michal Polovinčák</t>
  </si>
  <si>
    <t>michal_polovincak@student.gymberoun.cz</t>
  </si>
  <si>
    <t>4350</t>
  </si>
  <si>
    <t>Marie Povolná</t>
  </si>
  <si>
    <t>marie_povolna@student.gymberoun.cz</t>
  </si>
  <si>
    <t>6494</t>
  </si>
  <si>
    <t>Jan Rúta</t>
  </si>
  <si>
    <t>jan_ruta@student.gymberoun.cz</t>
  </si>
  <si>
    <t>4763</t>
  </si>
  <si>
    <t>Dominik Svatoš</t>
  </si>
  <si>
    <t>dominik_svatos@student.gymberoun.cz</t>
  </si>
  <si>
    <t>6069</t>
  </si>
  <si>
    <t>Kryštof Svoboda</t>
  </si>
  <si>
    <t>krystof_svoboda@student.gymberoun.cz</t>
  </si>
  <si>
    <t>4340</t>
  </si>
  <si>
    <t>Adéla Silhava</t>
  </si>
  <si>
    <t>adela_silhava@student.gymberoun.cz</t>
  </si>
  <si>
    <t>3923</t>
  </si>
  <si>
    <t>Václav Šopík</t>
  </si>
  <si>
    <t>vaclav_sopik@student.gymberoun.cz</t>
  </si>
  <si>
    <t>3307</t>
  </si>
  <si>
    <t>Lukáš Tóth</t>
  </si>
  <si>
    <t>lukas_toth@student.gymberoun.cz</t>
  </si>
  <si>
    <t>4089</t>
  </si>
  <si>
    <t>Daniela Turková</t>
  </si>
  <si>
    <t>daniela_turkova@student.gymberoun.cz</t>
  </si>
  <si>
    <t>6685</t>
  </si>
  <si>
    <t>Barbora Vaňková</t>
  </si>
  <si>
    <t>barbora_vankova@student.gymberoun.cz</t>
  </si>
  <si>
    <t>7063</t>
  </si>
  <si>
    <t>Štěpánka Voldánová</t>
  </si>
  <si>
    <t>stepanka_voldanova@student.gymberoun.cz</t>
  </si>
  <si>
    <t>7712</t>
  </si>
  <si>
    <t>Anna Vrbská</t>
  </si>
  <si>
    <t>anna_vrbska@student.gymberoun.cz</t>
  </si>
  <si>
    <t>4454</t>
  </si>
  <si>
    <t>Robert Zoch</t>
  </si>
  <si>
    <t>robert_zoch@student.gymberoun.cz</t>
  </si>
  <si>
    <t>7603</t>
  </si>
  <si>
    <t>LEGENDA A PRAVIDLA:</t>
  </si>
  <si>
    <t>Pokud student neudělal žádné PL:</t>
  </si>
  <si>
    <t>• Celkový bonus = 0</t>
  </si>
  <si>
    <t>• Finální průměr = Vážený průměr (bez bonusů)</t>
  </si>
  <si>
    <t>• Známka se normálně vypočítá</t>
  </si>
  <si>
    <t>Bonusy z praktických listů (hodnotí se jen aktuálně zadané PL, platí od 3. odevzdané práce):</t>
  </si>
  <si>
    <t>• 90-100%: -0.25</t>
  </si>
  <si>
    <t>• 75-89%: -0.15</t>
  </si>
  <si>
    <t>• 60-74%: -0.1</t>
  </si>
  <si>
    <t>• Výsledky 0 % se nepočítají jako odevzdaná práce</t>
  </si>
  <si>
    <t>Bonus za konzistenci (platí od 3. odevzdané práce):</t>
  </si>
  <si>
    <t>• Odevzdáš ≥75 % zadaných PL → extra -0.15</t>
  </si>
  <si>
    <t>Penalizace za opisování (PODVOD):</t>
  </si>
  <si>
    <t>• Do buňky PL napiš: P (= podvod)</t>
  </si>
  <si>
    <t>• Platí pro opisujícího I pro toho, kdo práci poskytl</t>
  </si>
  <si>
    <t>• Do PL buňky napiš "P" = podvod → zobrazuje se jako nálepka, bez dopadu na průměr (do příštího roku)</t>
  </si>
  <si>
    <t>• Plánovaná penalizace (2× P = -0.4, 3× P = -0.6, 4× P = -0.8, 5× P = -1.0) zatím NEPLATÍ — až od příštího roku</t>
  </si>
  <si>
    <t>• P se nepočítá jako odevzdaná práce (nevstupuje do počtu PL ani do konzistenčního bonusu)</t>
  </si>
  <si>
    <t>• P nedává žádný bonus (0 % = žádný příspěvek k průměru bonusů)</t>
  </si>
  <si>
    <t>julie_andielova@student.gymberoun.cz</t>
  </si>
  <si>
    <t>N</t>
  </si>
  <si>
    <t xml:space="preserve">ST
</t>
  </si>
  <si>
    <t>MT5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</si>
</sst>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charset val="1"/>
    </font>
    <font>
      <b/>
      <sz val="10"/>
      <color rgb="FFFFFFFF"/>
      <name val="Calibri"/>
      <family val="2"/>
      <charset val="238"/>
    </font>
    <font>
      <b/>
      <sz val="10"/>
      <color rgb="FF000000"/>
      <name val="Calibri"/>
      <family val="2"/>
      <charset val="238"/>
    </font>
    <font>
      <b/>
      <sz val="9"/>
      <name val="Calibri"/>
      <family val="2"/>
      <charset val="238"/>
    </font>
    <font>
      <b/>
      <sz val="9"/>
      <color rgb="FFFFFFFF"/>
      <name val="Calibri"/>
      <family val="2"/>
      <charset val="238"/>
    </font>
    <font>
      <b/>
      <sz val="11"/>
      <color rgb="FFFFFFFF"/>
      <name val="Calibri"/>
      <family val="2"/>
      <charset val="238"/>
    </font>
    <font>
      <sz val="11"/>
      <color rgb="FF9C5700"/>
      <name val="Calibri"/>
      <family val="2"/>
      <charset val="238"/>
    </font>
    <font>
      <b/>
      <sz val="12"/>
      <color rgb="FFFFFFFF"/>
      <name val="Calibri"/>
      <charset val="1"/>
    </font>
    <font>
      <b/>
      <sz val="10"/>
      <name val="Arial"/>
      <charset val="1"/>
    </font>
    <font>
      <b/>
      <sz val="10"/>
      <color rgb="FFFFFFFF"/>
      <name val="Cambria"/>
      <charset val="1"/>
    </font>
    <font>
      <b/>
      <i/>
      <sz val="11"/>
      <color rgb="FF00B050"/>
      <name val="Calibri"/>
      <family val="2"/>
      <charset val="1"/>
    </font>
    <font>
      <b/>
      <sz val="11"/>
      <name val="Calibri"/>
      <family val="2"/>
      <charset val="238"/>
    </font>
    <font>
      <b/>
      <sz val="11"/>
      <color rgb="FF0070C0"/>
      <name val="Calibri"/>
      <family val="2"/>
      <charset val="238"/>
    </font>
    <font>
      <b/>
      <sz val="11"/>
      <color rgb="FF00B050"/>
      <name val="Calibri"/>
      <family val="2"/>
      <charset val="238"/>
    </font>
    <font>
      <b/>
      <sz val="10"/>
      <name val="Calibri"/>
      <family val="2"/>
      <charset val="238"/>
    </font>
    <font>
      <b/>
      <sz val="14"/>
      <name val="Calibri"/>
      <family val="2"/>
      <charset val="238"/>
    </font>
    <font>
      <sz val="11"/>
      <color rgb="FF000000"/>
      <name val="Calibri"/>
      <family val="2"/>
      <charset val="238"/>
    </font>
    <font>
      <b/>
      <sz val="14"/>
      <color rgb="FFFF0000"/>
      <name val="Calibri"/>
      <charset val="1"/>
    </font>
    <font>
      <b/>
      <sz val="11"/>
      <name val="Arial"/>
      <charset val="1"/>
    </font>
    <font>
      <b/>
      <sz val="12"/>
      <color rgb="FF4472C4"/>
      <name val="Calibri"/>
      <family val="2"/>
      <charset val="238"/>
    </font>
    <font>
      <sz val="11"/>
      <color theme="0"/>
      <name val="Calibri"/>
      <family val="2"/>
      <charset val="1"/>
    </font>
    <font>
      <sz val="11"/>
      <color rgb="FF00B050"/>
      <name val="Calibri"/>
      <family val="2"/>
      <charset val="238"/>
    </font>
    <font>
      <sz val="11"/>
      <color rgb="FF006100"/>
      <name val="Calibri"/>
      <family val="2"/>
      <charset val="238"/>
    </font>
    <font>
      <b/>
      <sz val="11"/>
      <name val="Cambria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C65911"/>
        <bgColor rgb="FF9C5700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969696"/>
      </patternFill>
    </fill>
    <fill>
      <patternFill patternType="solid">
        <fgColor rgb="FFB4C7E7"/>
        <bgColor rgb="FF9BC2E6"/>
      </patternFill>
    </fill>
    <fill>
      <patternFill patternType="solid">
        <fgColor rgb="FF9BC2E6"/>
        <bgColor rgb="FFB4C7E7"/>
      </patternFill>
    </fill>
    <fill>
      <patternFill patternType="solid">
        <fgColor rgb="FF00B050"/>
        <bgColor rgb="FF008080"/>
      </patternFill>
    </fill>
    <fill>
      <patternFill patternType="solid">
        <fgColor rgb="FF0070C0"/>
        <bgColor rgb="FF008080"/>
      </patternFill>
    </fill>
    <fill>
      <patternFill patternType="solid">
        <fgColor rgb="FFFFEB9C"/>
        <bgColor rgb="FFE2EFDA"/>
      </patternFill>
    </fill>
    <fill>
      <patternFill patternType="solid">
        <fgColor rgb="FFD9E1F2"/>
        <bgColor rgb="FFE2EFDA"/>
      </patternFill>
    </fill>
    <fill>
      <patternFill patternType="solid">
        <fgColor rgb="FFC00000"/>
        <bgColor rgb="FF9C0006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49" fontId="0" fillId="0" borderId="1" xfId="0" applyNumberFormat="1" applyBorder="1"/>
    <xf numFmtId="0" fontId="10" fillId="0" borderId="1" xfId="0" applyFont="1" applyBorder="1" applyAlignment="1">
      <alignment horizontal="center"/>
    </xf>
    <xf numFmtId="2" fontId="1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2" fontId="12" fillId="0" borderId="1" xfId="0" applyNumberFormat="1" applyFont="1" applyBorder="1" applyAlignment="1">
      <alignment horizontal="center"/>
    </xf>
    <xf numFmtId="2" fontId="13" fillId="0" borderId="1" xfId="0" applyNumberFormat="1" applyFont="1" applyBorder="1" applyAlignment="1">
      <alignment horizontal="center"/>
    </xf>
    <xf numFmtId="2" fontId="14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1" xfId="0" applyFont="1" applyBorder="1" applyAlignment="1">
      <alignment vertical="center"/>
    </xf>
    <xf numFmtId="0" fontId="17" fillId="13" borderId="1" xfId="0" applyFont="1" applyFill="1" applyBorder="1" applyAlignment="1">
      <alignment horizontal="center"/>
    </xf>
    <xf numFmtId="0" fontId="18" fillId="1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49" fontId="0" fillId="0" borderId="2" xfId="0" applyNumberFormat="1" applyBorder="1"/>
    <xf numFmtId="0" fontId="0" fillId="13" borderId="1" xfId="0" applyFill="1" applyBorder="1" applyAlignment="1">
      <alignment horizontal="center"/>
    </xf>
    <xf numFmtId="0" fontId="10" fillId="13" borderId="1" xfId="0" applyFont="1" applyFill="1" applyBorder="1" applyAlignment="1">
      <alignment horizontal="center"/>
    </xf>
    <xf numFmtId="2" fontId="11" fillId="13" borderId="1" xfId="0" applyNumberFormat="1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9" fontId="3" fillId="13" borderId="1" xfId="0" applyNumberFormat="1" applyFont="1" applyFill="1" applyBorder="1" applyAlignment="1">
      <alignment horizontal="center"/>
    </xf>
    <xf numFmtId="2" fontId="12" fillId="13" borderId="1" xfId="0" applyNumberFormat="1" applyFont="1" applyFill="1" applyBorder="1" applyAlignment="1">
      <alignment horizontal="center"/>
    </xf>
    <xf numFmtId="2" fontId="13" fillId="13" borderId="1" xfId="0" applyNumberFormat="1" applyFont="1" applyFill="1" applyBorder="1" applyAlignment="1">
      <alignment horizontal="center"/>
    </xf>
    <xf numFmtId="2" fontId="14" fillId="13" borderId="1" xfId="0" applyNumberFormat="1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11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9" fontId="3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center"/>
    </xf>
    <xf numFmtId="2" fontId="14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20" fillId="0" borderId="0" xfId="0" applyFont="1"/>
    <xf numFmtId="9" fontId="20" fillId="0" borderId="0" xfId="0" applyNumberFormat="1" applyFont="1"/>
    <xf numFmtId="0" fontId="21" fillId="0" borderId="0" xfId="0" applyFont="1" applyAlignment="1">
      <alignment horizontal="center"/>
    </xf>
    <xf numFmtId="0" fontId="21" fillId="0" borderId="0" xfId="0" applyFont="1"/>
    <xf numFmtId="0" fontId="22" fillId="0" borderId="0" xfId="0" applyFont="1" applyAlignment="1">
      <alignment horizontal="center"/>
    </xf>
    <xf numFmtId="0" fontId="22" fillId="0" borderId="0" xfId="0" applyFont="1"/>
    <xf numFmtId="0" fontId="13" fillId="0" borderId="0" xfId="0" applyFont="1"/>
    <xf numFmtId="0" fontId="23" fillId="0" borderId="0" xfId="0" applyFont="1"/>
  </cellXfs>
  <cellStyles count="1">
    <cellStyle name="Normální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theme="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E2EFDA"/>
      <rgbColor rgb="FFFFEB9C"/>
      <rgbColor rgb="FF9BC2E6"/>
      <rgbColor rgb="FFFF99CC"/>
      <rgbColor rgb="FFCC99FF"/>
      <rgbColor rgb="FFFFC7CE"/>
      <rgbColor rgb="FF4472C4"/>
      <rgbColor rgb="FF33CCCC"/>
      <rgbColor rgb="FF92D050"/>
      <rgbColor rgb="FFFFC000"/>
      <rgbColor rgb="FFFF9900"/>
      <rgbColor rgb="FFC65911"/>
      <rgbColor rgb="FF666699"/>
      <rgbColor rgb="FF969696"/>
      <rgbColor rgb="FF003366"/>
      <rgbColor rgb="FF00B050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julie_andielova@student.gymberoun.c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0"/>
  <sheetViews>
    <sheetView tabSelected="1" zoomScaleNormal="100" workbookViewId="0">
      <pane xSplit="2" topLeftCell="C1" activePane="topRight" state="frozen"/>
      <selection pane="topRight" activeCell="W35" sqref="W35"/>
    </sheetView>
  </sheetViews>
  <sheetFormatPr defaultColWidth="8.54296875" defaultRowHeight="14.5" x14ac:dyDescent="0.35"/>
  <cols>
    <col min="1" max="1" width="7" customWidth="1"/>
    <col min="2" max="2" width="25.7265625" customWidth="1"/>
    <col min="3" max="12" width="5" customWidth="1"/>
    <col min="13" max="13" width="6.54296875" customWidth="1"/>
    <col min="14" max="21" width="6" customWidth="1"/>
    <col min="22" max="23" width="7" customWidth="1"/>
    <col min="24" max="24" width="9" customWidth="1"/>
    <col min="25" max="26" width="8" customWidth="1"/>
    <col min="27" max="28" width="9" customWidth="1"/>
    <col min="30" max="30" width="11.1796875" bestFit="1" customWidth="1"/>
    <col min="32" max="32" width="42.54296875" customWidth="1"/>
    <col min="33" max="34" width="11.54296875" hidden="1" customWidth="1"/>
    <col min="35" max="35" width="13.26953125" bestFit="1" customWidth="1"/>
    <col min="36" max="36" width="9.1796875" bestFit="1" customWidth="1"/>
    <col min="38" max="38" width="15.81640625" customWidth="1"/>
    <col min="39" max="39" width="40.54296875" customWidth="1"/>
  </cols>
  <sheetData>
    <row r="1" spans="1:36" ht="30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139</v>
      </c>
      <c r="N1" s="3" t="s">
        <v>138</v>
      </c>
      <c r="O1" s="4" t="s">
        <v>12</v>
      </c>
      <c r="P1" s="5" t="s">
        <v>13</v>
      </c>
      <c r="Q1" s="6" t="s">
        <v>14</v>
      </c>
      <c r="R1" s="6" t="s">
        <v>15</v>
      </c>
      <c r="S1" s="6" t="s">
        <v>16</v>
      </c>
      <c r="T1" s="6" t="s">
        <v>17</v>
      </c>
      <c r="U1" s="6" t="s">
        <v>18</v>
      </c>
      <c r="V1" s="6" t="s">
        <v>19</v>
      </c>
      <c r="W1" s="6" t="s">
        <v>20</v>
      </c>
      <c r="X1" s="6" t="s">
        <v>21</v>
      </c>
      <c r="Y1" s="5" t="s">
        <v>22</v>
      </c>
      <c r="Z1" s="5" t="s">
        <v>23</v>
      </c>
      <c r="AA1" s="5" t="s">
        <v>24</v>
      </c>
      <c r="AB1" s="7" t="s">
        <v>25</v>
      </c>
      <c r="AC1" s="5" t="s">
        <v>26</v>
      </c>
      <c r="AD1" s="8" t="s">
        <v>27</v>
      </c>
      <c r="AE1" s="9" t="s">
        <v>28</v>
      </c>
      <c r="AF1" s="10" t="s">
        <v>29</v>
      </c>
      <c r="AG1" s="11" t="s">
        <v>30</v>
      </c>
      <c r="AH1" s="12" t="s">
        <v>31</v>
      </c>
      <c r="AI1" s="13" t="s">
        <v>32</v>
      </c>
      <c r="AJ1" s="13" t="s">
        <v>33</v>
      </c>
    </row>
    <row r="2" spans="1:36" ht="18" customHeight="1" x14ac:dyDescent="0.45">
      <c r="A2" s="14">
        <v>1</v>
      </c>
      <c r="B2" s="15" t="s">
        <v>34</v>
      </c>
      <c r="C2" s="14"/>
      <c r="D2" s="14"/>
      <c r="E2" s="14"/>
      <c r="F2" s="14"/>
      <c r="G2" s="14"/>
      <c r="H2" s="14"/>
      <c r="I2" s="14">
        <v>1</v>
      </c>
      <c r="J2" s="14"/>
      <c r="K2" s="14"/>
      <c r="L2" s="14"/>
      <c r="M2" s="14"/>
      <c r="N2" s="14"/>
      <c r="O2" s="16"/>
      <c r="P2" s="17">
        <f t="shared" ref="P2:P29" si="0">IFERROR((IF(ISNUMBER(C2),C2*3,0)+IF(ISNUMBER(D2),D2*3,0)+IF(ISNUMBER(E2),E2*3,0)+IF(ISNUMBER(F2),F2*3,0)+IF(ISNUMBER(G2),G2*3,0)+IF(ISNUMBER(H2),H2*3,0)+IF(ISNUMBER(I2),I2*2,0)+IF(ISNUMBER(J2),J2*2,0)+IF(ISNUMBER(K2),K2*2,0)+IF(ISNUMBER(L2),L2*2,0)+IF(ISNUMBER(M2),M2*2,0)+IF(ISNUMBER(N2),N2*2,0)+IF(ISNUMBER(O2),O2*1,0))/(IF(ISNUMBER(C2),3,0)+IF(ISNUMBER(D2),3,0)+IF(ISNUMBER(E2),3,0)+IF(ISNUMBER(F2),3,0)+IF(ISNUMBER(G2),3,0)+IF(ISNUMBER(H2),3,0)+IF(ISNUMBER(I2),2,0)+IF(ISNUMBER(J2),2,0)+IF(ISNUMBER(K2),2,0)+IF(ISNUMBER(L2),2,0)+IF(ISNUMBER(M2),2,0)+IF(ISNUMBER(N2),2,0)+IF(ISNUMBER(O2),1,0)),"")</f>
        <v>1</v>
      </c>
      <c r="Q2" s="18"/>
      <c r="R2" s="18"/>
      <c r="S2" s="18"/>
      <c r="T2" s="18"/>
      <c r="U2" s="18"/>
      <c r="V2" s="18"/>
      <c r="W2" s="18"/>
      <c r="X2" s="18"/>
      <c r="Y2" s="19">
        <f t="shared" ref="Y2:Y29" si="1">IF(ISBLANK(B2),"",COUNTIF(Q2:X2,"&gt;0"))</f>
        <v>0</v>
      </c>
      <c r="Z2" s="20">
        <f t="shared" ref="Z2:Z29" si="2">IF(ISBLANK(B2),"",IF(Y2=0,0,Y2/$AH$2))</f>
        <v>0</v>
      </c>
      <c r="AA2" s="21">
        <f t="shared" ref="AA2:AA29" si="3">IF(ISBLANK(B2),"",IF(Y2&lt;3,0,IF((IF(ISNUMBER(Q2),IF(Q2&gt;=60,1,0),0)+IF(ISNUMBER(R2),IF(R2&gt;=60,1,0),0)+IF(ISNUMBER(S2),IF(S2&gt;=60,1,0),0)+IF(ISNUMBER(T2),IF(T2&gt;=60,1,0),0)+IF(ISNUMBER(U2),IF(U2&gt;=60,1,0),0)+IF(ISNUMBER(V2),IF(V2&gt;=60,1,0),0)+IF(ISNUMBER(W2),IF(W2&gt;=60,1,0),0)+IF(ISNUMBER(X2),IF(X2&gt;=60,1,0),0))&gt;0,(IF(ISNUMBER(Q2),IF(Q2&gt;=90,-0.25,IF(Q2&gt;=75,-0.15,-0.1)),0)+IF(ISNUMBER(R2),IF(R2&gt;=90,-0.25,IF(R2&gt;=75,-0.15,-0.1)),0)+IF(ISNUMBER(S2),IF(S2&gt;=90,-0.25,IF(S2&gt;=75,-0.15,-0.1)),0)+IF(ISNUMBER(T2),IF(T2&gt;=90,-0.25,IF(T2&gt;=75,-0.15,-0.1)),0)+IF(ISNUMBER(U2),IF(U2&gt;=90,-0.25,IF(U2&gt;=75,-0.15,-0.1)),0)+IF(ISNUMBER(V2),IF(V2&gt;=90,-0.25,IF(V2&gt;=75,-0.15,-0.1)),0)+IF(ISNUMBER(W2),IF(W2&gt;=90,-0.25,IF(W2&gt;=75,-0.15,-0.1)),0)+IF(ISNUMBER(X2),IF(X2&gt;=90,-0.25,IF(X2&gt;=75,-0.15,-0.1)),0))/(IF(ISNUMBER(Q2),IF(Q2&gt;=60,1,0),0)+IF(ISNUMBER(R2),IF(R2&gt;=60,1,0),0)+IF(ISNUMBER(S2),IF(S2&gt;=60,1,0),0)+IF(ISNUMBER(T2),IF(T2&gt;=60,1,0),0)+IF(ISNUMBER(U2),IF(U2&gt;=60,1,0),0)+IF(ISNUMBER(V2),IF(V2&gt;=60,1,0),0)+IF(ISNUMBER(W2),IF(W2&gt;=60,1,0),0)+IF(ISNUMBER(X2),IF(X2&gt;=60,1,0),0)),0)))</f>
        <v>0</v>
      </c>
      <c r="AB2" s="22">
        <f t="shared" ref="AB2:AB29" si="4">IF(ISBLANK(B2),"",IF(AND(Y2&gt;=3,Z2&gt;=0.75),-0.15,0))</f>
        <v>0</v>
      </c>
      <c r="AC2" s="23">
        <f t="shared" ref="AC2:AC29" si="5">AA2+AB2+AJ2</f>
        <v>0</v>
      </c>
      <c r="AD2" s="21">
        <f>IF(P2="","",P2+AC2)</f>
        <v>1</v>
      </c>
      <c r="AE2" s="24">
        <f t="shared" ref="AE2:AE29" si="6">IF(ISBLANK(B2),"",IFERROR(IF(ISNUMBER(AD2),IF(AD2&lt;=1.5,1,IF(AD2&lt;=2.5,2,IF(AD2&lt;=3.5,3,IF(AD2&lt;=4.5,4,5)))),""),""))</f>
        <v>1</v>
      </c>
      <c r="AF2" s="25" t="s">
        <v>136</v>
      </c>
      <c r="AG2" s="26" t="s">
        <v>35</v>
      </c>
      <c r="AH2" s="27">
        <f>(COUNT(Q2:Q196)&gt;0)+(COUNT(R2:R196)&gt;0)+(COUNT(S2:S196)&gt;0)+(COUNT(T2:T196)&gt;0)+(COUNT(U2:U196)&gt;0)+(COUNT(V2:V196)&gt;0)+(COUNT(W2:W196)&gt;0)+(COUNT(X2:X196)&gt;0)</f>
        <v>1</v>
      </c>
      <c r="AI2" s="28"/>
      <c r="AJ2" s="29">
        <f t="shared" ref="AJ2:AJ29" si="7">COUNTIF(Q2:X2,"P")*0</f>
        <v>0</v>
      </c>
    </row>
    <row r="3" spans="1:36" ht="18" customHeight="1" x14ac:dyDescent="0.45">
      <c r="A3" s="14">
        <v>2</v>
      </c>
      <c r="B3" s="15" t="s">
        <v>36</v>
      </c>
      <c r="C3" s="14"/>
      <c r="D3" s="14"/>
      <c r="E3" s="14"/>
      <c r="F3" s="14"/>
      <c r="G3" s="14"/>
      <c r="H3" s="14"/>
      <c r="I3" s="14">
        <v>1</v>
      </c>
      <c r="J3" s="14"/>
      <c r="K3" s="14"/>
      <c r="L3" s="14"/>
      <c r="M3" s="14"/>
      <c r="N3" s="14"/>
      <c r="O3" s="16"/>
      <c r="P3" s="17">
        <f t="shared" si="0"/>
        <v>1</v>
      </c>
      <c r="Q3" s="18"/>
      <c r="R3" s="18"/>
      <c r="S3" s="18"/>
      <c r="T3" s="18"/>
      <c r="U3" s="18"/>
      <c r="V3" s="18"/>
      <c r="W3" s="18"/>
      <c r="X3" s="18"/>
      <c r="Y3" s="19">
        <f t="shared" si="1"/>
        <v>0</v>
      </c>
      <c r="Z3" s="20">
        <f t="shared" si="2"/>
        <v>0</v>
      </c>
      <c r="AA3" s="21">
        <f t="shared" si="3"/>
        <v>0</v>
      </c>
      <c r="AB3" s="22">
        <f t="shared" si="4"/>
        <v>0</v>
      </c>
      <c r="AC3" s="23">
        <f t="shared" si="5"/>
        <v>0</v>
      </c>
      <c r="AD3" s="21">
        <f>IF(P3="","",P3+AC3)</f>
        <v>1</v>
      </c>
      <c r="AE3" s="24">
        <f t="shared" si="6"/>
        <v>1</v>
      </c>
      <c r="AF3" s="25" t="s">
        <v>37</v>
      </c>
      <c r="AG3" s="30" t="s">
        <v>38</v>
      </c>
      <c r="AH3" s="31"/>
      <c r="AI3" s="28"/>
      <c r="AJ3" s="29">
        <f t="shared" si="7"/>
        <v>0</v>
      </c>
    </row>
    <row r="4" spans="1:36" ht="18" customHeight="1" x14ac:dyDescent="0.45">
      <c r="A4" s="14">
        <v>3</v>
      </c>
      <c r="B4" s="15" t="s">
        <v>39</v>
      </c>
      <c r="C4" s="14"/>
      <c r="D4" s="14"/>
      <c r="E4" s="14"/>
      <c r="F4" s="14"/>
      <c r="G4" s="14"/>
      <c r="H4" s="14"/>
      <c r="I4" s="14">
        <v>4</v>
      </c>
      <c r="J4" s="14"/>
      <c r="K4" s="14"/>
      <c r="L4" s="14"/>
      <c r="M4" s="14"/>
      <c r="N4" s="14"/>
      <c r="O4" s="16"/>
      <c r="P4" s="17">
        <f t="shared" si="0"/>
        <v>4</v>
      </c>
      <c r="Q4" s="18"/>
      <c r="R4" s="14"/>
      <c r="S4" s="18"/>
      <c r="T4" s="18"/>
      <c r="U4" s="14"/>
      <c r="V4" s="18"/>
      <c r="W4" s="18"/>
      <c r="X4" s="14"/>
      <c r="Y4" s="19">
        <f t="shared" si="1"/>
        <v>0</v>
      </c>
      <c r="Z4" s="20">
        <f t="shared" si="2"/>
        <v>0</v>
      </c>
      <c r="AA4" s="21">
        <f t="shared" si="3"/>
        <v>0</v>
      </c>
      <c r="AB4" s="22">
        <f t="shared" si="4"/>
        <v>0</v>
      </c>
      <c r="AC4" s="23">
        <f t="shared" si="5"/>
        <v>0</v>
      </c>
      <c r="AD4" s="21">
        <f t="shared" ref="AD4:AD29" si="8">IF(P4="","",P4+AC4)</f>
        <v>4</v>
      </c>
      <c r="AE4" s="24">
        <f t="shared" si="6"/>
        <v>4</v>
      </c>
      <c r="AF4" s="25" t="s">
        <v>40</v>
      </c>
      <c r="AG4" s="26" t="s">
        <v>41</v>
      </c>
      <c r="AH4" s="31"/>
      <c r="AI4" s="28"/>
      <c r="AJ4" s="29">
        <f t="shared" si="7"/>
        <v>0</v>
      </c>
    </row>
    <row r="5" spans="1:36" ht="18" customHeight="1" x14ac:dyDescent="0.45">
      <c r="A5" s="14">
        <v>4</v>
      </c>
      <c r="B5" s="15" t="s">
        <v>42</v>
      </c>
      <c r="C5" s="14"/>
      <c r="D5" s="14"/>
      <c r="E5" s="14"/>
      <c r="F5" s="14"/>
      <c r="G5" s="14"/>
      <c r="H5" s="14"/>
      <c r="I5" s="14" t="s">
        <v>137</v>
      </c>
      <c r="J5" s="14"/>
      <c r="K5" s="14"/>
      <c r="L5" s="14"/>
      <c r="M5" s="14"/>
      <c r="N5" s="14"/>
      <c r="O5" s="16"/>
      <c r="P5" s="17" t="str">
        <f t="shared" si="0"/>
        <v/>
      </c>
      <c r="Q5" s="18"/>
      <c r="R5" s="18"/>
      <c r="S5" s="18"/>
      <c r="T5" s="18"/>
      <c r="U5" s="18"/>
      <c r="V5" s="18"/>
      <c r="W5" s="18"/>
      <c r="X5" s="18"/>
      <c r="Y5" s="19">
        <f t="shared" si="1"/>
        <v>0</v>
      </c>
      <c r="Z5" s="20">
        <f t="shared" si="2"/>
        <v>0</v>
      </c>
      <c r="AA5" s="21">
        <f t="shared" si="3"/>
        <v>0</v>
      </c>
      <c r="AB5" s="22">
        <f t="shared" si="4"/>
        <v>0</v>
      </c>
      <c r="AC5" s="23">
        <f t="shared" si="5"/>
        <v>0</v>
      </c>
      <c r="AD5" s="21" t="str">
        <f t="shared" si="8"/>
        <v/>
      </c>
      <c r="AE5" s="24" t="str">
        <f t="shared" si="6"/>
        <v/>
      </c>
      <c r="AF5" s="25" t="s">
        <v>43</v>
      </c>
      <c r="AG5" s="30" t="s">
        <v>44</v>
      </c>
      <c r="AH5" s="31"/>
      <c r="AI5" s="28"/>
      <c r="AJ5" s="29">
        <f t="shared" si="7"/>
        <v>0</v>
      </c>
    </row>
    <row r="6" spans="1:36" ht="18" customHeight="1" x14ac:dyDescent="0.45">
      <c r="A6" s="14">
        <v>5</v>
      </c>
      <c r="B6" s="15" t="s">
        <v>45</v>
      </c>
      <c r="C6" s="14"/>
      <c r="D6" s="14"/>
      <c r="E6" s="14"/>
      <c r="F6" s="14"/>
      <c r="G6" s="14"/>
      <c r="H6" s="14"/>
      <c r="I6" s="14" t="s">
        <v>137</v>
      </c>
      <c r="J6" s="14"/>
      <c r="K6" s="14"/>
      <c r="L6" s="14"/>
      <c r="M6" s="14"/>
      <c r="N6" s="14"/>
      <c r="O6" s="16"/>
      <c r="P6" s="17" t="str">
        <f t="shared" si="0"/>
        <v/>
      </c>
      <c r="Q6" s="18"/>
      <c r="R6" s="18"/>
      <c r="S6" s="18"/>
      <c r="T6" s="18"/>
      <c r="U6" s="18"/>
      <c r="V6" s="18"/>
      <c r="W6" s="18"/>
      <c r="X6" s="18"/>
      <c r="Y6" s="19">
        <f t="shared" si="1"/>
        <v>0</v>
      </c>
      <c r="Z6" s="20">
        <f t="shared" si="2"/>
        <v>0</v>
      </c>
      <c r="AA6" s="21">
        <f t="shared" si="3"/>
        <v>0</v>
      </c>
      <c r="AB6" s="22">
        <f t="shared" si="4"/>
        <v>0</v>
      </c>
      <c r="AC6" s="23">
        <f t="shared" si="5"/>
        <v>0</v>
      </c>
      <c r="AD6" s="21" t="str">
        <f t="shared" si="8"/>
        <v/>
      </c>
      <c r="AE6" s="24" t="str">
        <f t="shared" si="6"/>
        <v/>
      </c>
      <c r="AF6" s="25" t="s">
        <v>46</v>
      </c>
      <c r="AG6" s="26" t="s">
        <v>47</v>
      </c>
      <c r="AH6" s="31"/>
      <c r="AI6" s="28"/>
      <c r="AJ6" s="29">
        <f t="shared" si="7"/>
        <v>0</v>
      </c>
    </row>
    <row r="7" spans="1:36" ht="18" customHeight="1" x14ac:dyDescent="0.45">
      <c r="A7" s="14">
        <v>6</v>
      </c>
      <c r="B7" s="15" t="s">
        <v>48</v>
      </c>
      <c r="C7" s="14"/>
      <c r="D7" s="14"/>
      <c r="E7" s="14"/>
      <c r="F7" s="14"/>
      <c r="G7" s="14"/>
      <c r="H7" s="14"/>
      <c r="I7" s="14">
        <v>1</v>
      </c>
      <c r="J7" s="14"/>
      <c r="K7" s="14"/>
      <c r="L7" s="14"/>
      <c r="M7" s="14"/>
      <c r="N7" s="14"/>
      <c r="O7" s="16"/>
      <c r="P7" s="17">
        <f t="shared" si="0"/>
        <v>1</v>
      </c>
      <c r="Q7" s="18"/>
      <c r="R7" s="18"/>
      <c r="S7" s="18"/>
      <c r="T7" s="18"/>
      <c r="U7" s="18"/>
      <c r="V7" s="18"/>
      <c r="W7" s="18"/>
      <c r="X7" s="18"/>
      <c r="Y7" s="19">
        <f t="shared" si="1"/>
        <v>0</v>
      </c>
      <c r="Z7" s="20">
        <f t="shared" si="2"/>
        <v>0</v>
      </c>
      <c r="AA7" s="21">
        <f t="shared" si="3"/>
        <v>0</v>
      </c>
      <c r="AB7" s="22">
        <f t="shared" si="4"/>
        <v>0</v>
      </c>
      <c r="AC7" s="23">
        <f t="shared" si="5"/>
        <v>0</v>
      </c>
      <c r="AD7" s="21">
        <f t="shared" si="8"/>
        <v>1</v>
      </c>
      <c r="AE7" s="24">
        <f t="shared" si="6"/>
        <v>1</v>
      </c>
      <c r="AF7" s="25" t="s">
        <v>49</v>
      </c>
      <c r="AG7" s="30" t="s">
        <v>50</v>
      </c>
      <c r="AH7" s="31"/>
      <c r="AI7" s="28"/>
      <c r="AJ7" s="29">
        <f t="shared" si="7"/>
        <v>0</v>
      </c>
    </row>
    <row r="8" spans="1:36" ht="18" customHeight="1" x14ac:dyDescent="0.45">
      <c r="A8" s="32">
        <v>7</v>
      </c>
      <c r="B8" s="33" t="s">
        <v>51</v>
      </c>
      <c r="C8" s="14"/>
      <c r="D8" s="14"/>
      <c r="E8" s="14"/>
      <c r="F8" s="14"/>
      <c r="G8" s="14"/>
      <c r="H8" s="14"/>
      <c r="I8" s="14">
        <v>1</v>
      </c>
      <c r="J8" s="14"/>
      <c r="K8" s="14"/>
      <c r="L8" s="14"/>
      <c r="M8" s="14"/>
      <c r="N8" s="14"/>
      <c r="O8" s="16"/>
      <c r="P8" s="17">
        <f t="shared" si="0"/>
        <v>1</v>
      </c>
      <c r="Q8" s="18"/>
      <c r="R8" s="14"/>
      <c r="S8" s="18"/>
      <c r="T8" s="18"/>
      <c r="U8" s="14"/>
      <c r="V8" s="18"/>
      <c r="W8" s="18"/>
      <c r="X8" s="14"/>
      <c r="Y8" s="19">
        <f t="shared" si="1"/>
        <v>0</v>
      </c>
      <c r="Z8" s="20">
        <f t="shared" si="2"/>
        <v>0</v>
      </c>
      <c r="AA8" s="21">
        <f t="shared" si="3"/>
        <v>0</v>
      </c>
      <c r="AB8" s="22">
        <f t="shared" si="4"/>
        <v>0</v>
      </c>
      <c r="AC8" s="23">
        <f t="shared" si="5"/>
        <v>0</v>
      </c>
      <c r="AD8" s="21">
        <f t="shared" si="8"/>
        <v>1</v>
      </c>
      <c r="AE8" s="24">
        <f t="shared" si="6"/>
        <v>1</v>
      </c>
      <c r="AF8" s="25" t="s">
        <v>52</v>
      </c>
      <c r="AG8" s="26" t="s">
        <v>53</v>
      </c>
      <c r="AH8" s="31"/>
      <c r="AI8" s="28"/>
      <c r="AJ8" s="29">
        <f t="shared" si="7"/>
        <v>0</v>
      </c>
    </row>
    <row r="9" spans="1:36" ht="18" customHeight="1" x14ac:dyDescent="0.45">
      <c r="A9" s="14">
        <v>8</v>
      </c>
      <c r="B9" s="15" t="s">
        <v>54</v>
      </c>
      <c r="C9" s="14"/>
      <c r="D9" s="14"/>
      <c r="E9" s="14"/>
      <c r="F9" s="14"/>
      <c r="G9" s="14"/>
      <c r="H9" s="14"/>
      <c r="I9" s="14" t="s">
        <v>137</v>
      </c>
      <c r="J9" s="14"/>
      <c r="K9" s="14"/>
      <c r="L9" s="14"/>
      <c r="M9" s="14"/>
      <c r="N9" s="14"/>
      <c r="O9" s="16"/>
      <c r="P9" s="17" t="str">
        <f t="shared" si="0"/>
        <v/>
      </c>
      <c r="Q9" s="18"/>
      <c r="R9" s="14"/>
      <c r="S9" s="18"/>
      <c r="T9" s="18"/>
      <c r="U9" s="14"/>
      <c r="V9" s="18"/>
      <c r="W9" s="18"/>
      <c r="X9" s="14"/>
      <c r="Y9" s="19">
        <f t="shared" si="1"/>
        <v>0</v>
      </c>
      <c r="Z9" s="20">
        <f t="shared" si="2"/>
        <v>0</v>
      </c>
      <c r="AA9" s="21">
        <f t="shared" si="3"/>
        <v>0</v>
      </c>
      <c r="AB9" s="22">
        <f t="shared" si="4"/>
        <v>0</v>
      </c>
      <c r="AC9" s="23">
        <f t="shared" si="5"/>
        <v>0</v>
      </c>
      <c r="AD9" s="21" t="str">
        <f t="shared" si="8"/>
        <v/>
      </c>
      <c r="AE9" s="24" t="str">
        <f t="shared" si="6"/>
        <v/>
      </c>
      <c r="AF9" s="25" t="s">
        <v>55</v>
      </c>
      <c r="AG9" s="30" t="s">
        <v>56</v>
      </c>
      <c r="AH9" s="31"/>
      <c r="AI9" s="28"/>
      <c r="AJ9" s="29">
        <f t="shared" si="7"/>
        <v>0</v>
      </c>
    </row>
    <row r="10" spans="1:36" ht="18" customHeight="1" x14ac:dyDescent="0.45">
      <c r="A10" s="14">
        <v>9</v>
      </c>
      <c r="B10" s="15" t="s">
        <v>57</v>
      </c>
      <c r="C10" s="14"/>
      <c r="D10" s="14"/>
      <c r="E10" s="14"/>
      <c r="F10" s="14"/>
      <c r="G10" s="14"/>
      <c r="H10" s="14"/>
      <c r="I10" s="14">
        <v>1</v>
      </c>
      <c r="J10" s="14"/>
      <c r="K10" s="14"/>
      <c r="L10" s="14"/>
      <c r="M10" s="14"/>
      <c r="N10" s="14"/>
      <c r="O10" s="16"/>
      <c r="P10" s="17">
        <f t="shared" si="0"/>
        <v>1</v>
      </c>
      <c r="Q10" s="18"/>
      <c r="R10" s="18"/>
      <c r="S10" s="18"/>
      <c r="T10" s="18"/>
      <c r="U10" s="18"/>
      <c r="V10" s="18"/>
      <c r="W10" s="18"/>
      <c r="X10" s="18"/>
      <c r="Y10" s="19">
        <f t="shared" si="1"/>
        <v>0</v>
      </c>
      <c r="Z10" s="20">
        <f t="shared" si="2"/>
        <v>0</v>
      </c>
      <c r="AA10" s="21">
        <f t="shared" si="3"/>
        <v>0</v>
      </c>
      <c r="AB10" s="22">
        <f t="shared" si="4"/>
        <v>0</v>
      </c>
      <c r="AC10" s="23">
        <f t="shared" si="5"/>
        <v>0</v>
      </c>
      <c r="AD10" s="21">
        <f t="shared" si="8"/>
        <v>1</v>
      </c>
      <c r="AE10" s="24">
        <f t="shared" si="6"/>
        <v>1</v>
      </c>
      <c r="AF10" s="25" t="s">
        <v>58</v>
      </c>
      <c r="AG10" s="26" t="s">
        <v>59</v>
      </c>
      <c r="AH10" s="31"/>
      <c r="AI10" s="28"/>
      <c r="AJ10" s="29">
        <f t="shared" si="7"/>
        <v>0</v>
      </c>
    </row>
    <row r="11" spans="1:36" ht="18" customHeight="1" x14ac:dyDescent="0.45">
      <c r="A11" s="14">
        <v>10</v>
      </c>
      <c r="B11" s="15" t="s">
        <v>60</v>
      </c>
      <c r="C11" s="14"/>
      <c r="D11" s="14"/>
      <c r="E11" s="14"/>
      <c r="F11" s="14"/>
      <c r="G11" s="14"/>
      <c r="H11" s="14"/>
      <c r="I11" s="14">
        <v>1</v>
      </c>
      <c r="J11" s="14"/>
      <c r="K11" s="14"/>
      <c r="L11" s="14"/>
      <c r="M11" s="14"/>
      <c r="N11" s="14"/>
      <c r="O11" s="16"/>
      <c r="P11" s="17">
        <f t="shared" si="0"/>
        <v>1</v>
      </c>
      <c r="Q11" s="18"/>
      <c r="R11" s="14"/>
      <c r="S11" s="18"/>
      <c r="T11" s="18"/>
      <c r="U11" s="14"/>
      <c r="V11" s="18"/>
      <c r="W11" s="18"/>
      <c r="X11" s="14"/>
      <c r="Y11" s="19">
        <f t="shared" si="1"/>
        <v>0</v>
      </c>
      <c r="Z11" s="20">
        <f t="shared" si="2"/>
        <v>0</v>
      </c>
      <c r="AA11" s="21">
        <f t="shared" si="3"/>
        <v>0</v>
      </c>
      <c r="AB11" s="22">
        <f t="shared" si="4"/>
        <v>0</v>
      </c>
      <c r="AC11" s="23">
        <f t="shared" si="5"/>
        <v>0</v>
      </c>
      <c r="AD11" s="21">
        <f t="shared" si="8"/>
        <v>1</v>
      </c>
      <c r="AE11" s="24">
        <f t="shared" si="6"/>
        <v>1</v>
      </c>
      <c r="AF11" s="25" t="s">
        <v>61</v>
      </c>
      <c r="AG11" s="30" t="s">
        <v>62</v>
      </c>
      <c r="AH11" s="31"/>
      <c r="AI11" s="28"/>
      <c r="AJ11" s="29">
        <f t="shared" si="7"/>
        <v>0</v>
      </c>
    </row>
    <row r="12" spans="1:36" ht="18" customHeight="1" x14ac:dyDescent="0.45">
      <c r="A12" s="14">
        <v>11</v>
      </c>
      <c r="B12" s="15" t="s">
        <v>63</v>
      </c>
      <c r="C12" s="14"/>
      <c r="D12" s="14"/>
      <c r="E12" s="14"/>
      <c r="F12" s="14"/>
      <c r="G12" s="14"/>
      <c r="H12" s="14"/>
      <c r="I12" s="14">
        <v>1</v>
      </c>
      <c r="J12" s="14"/>
      <c r="K12" s="14"/>
      <c r="L12" s="14"/>
      <c r="M12" s="14"/>
      <c r="N12" s="14"/>
      <c r="O12" s="16"/>
      <c r="P12" s="17">
        <f t="shared" si="0"/>
        <v>1</v>
      </c>
      <c r="Q12" s="18">
        <v>97</v>
      </c>
      <c r="R12" s="14"/>
      <c r="S12" s="18"/>
      <c r="T12" s="18"/>
      <c r="U12" s="14"/>
      <c r="V12" s="18"/>
      <c r="W12" s="18"/>
      <c r="X12" s="14"/>
      <c r="Y12" s="19">
        <f t="shared" si="1"/>
        <v>1</v>
      </c>
      <c r="Z12" s="20">
        <f t="shared" si="2"/>
        <v>1</v>
      </c>
      <c r="AA12" s="21">
        <f t="shared" si="3"/>
        <v>0</v>
      </c>
      <c r="AB12" s="22">
        <f t="shared" si="4"/>
        <v>0</v>
      </c>
      <c r="AC12" s="23">
        <f t="shared" si="5"/>
        <v>0</v>
      </c>
      <c r="AD12" s="21">
        <f t="shared" si="8"/>
        <v>1</v>
      </c>
      <c r="AE12" s="24">
        <f t="shared" si="6"/>
        <v>1</v>
      </c>
      <c r="AF12" s="25" t="s">
        <v>64</v>
      </c>
      <c r="AG12" s="26" t="s">
        <v>65</v>
      </c>
      <c r="AH12" s="31"/>
      <c r="AI12" s="28"/>
      <c r="AJ12" s="29">
        <f t="shared" si="7"/>
        <v>0</v>
      </c>
    </row>
    <row r="13" spans="1:36" ht="18" customHeight="1" x14ac:dyDescent="0.45">
      <c r="A13" s="14">
        <v>12</v>
      </c>
      <c r="B13" s="15" t="s">
        <v>66</v>
      </c>
      <c r="C13" s="14"/>
      <c r="D13" s="14"/>
      <c r="E13" s="14"/>
      <c r="F13" s="14"/>
      <c r="G13" s="14"/>
      <c r="H13" s="14"/>
      <c r="I13" s="14">
        <v>1</v>
      </c>
      <c r="J13" s="14"/>
      <c r="K13" s="14"/>
      <c r="L13" s="14"/>
      <c r="M13" s="14"/>
      <c r="N13" s="14"/>
      <c r="O13" s="16"/>
      <c r="P13" s="17">
        <f t="shared" si="0"/>
        <v>1</v>
      </c>
      <c r="Q13" s="18"/>
      <c r="R13" s="14"/>
      <c r="S13" s="18"/>
      <c r="T13" s="18"/>
      <c r="U13" s="14"/>
      <c r="V13" s="18"/>
      <c r="W13" s="18"/>
      <c r="X13" s="14"/>
      <c r="Y13" s="19">
        <f t="shared" si="1"/>
        <v>0</v>
      </c>
      <c r="Z13" s="20">
        <f t="shared" si="2"/>
        <v>0</v>
      </c>
      <c r="AA13" s="21">
        <f t="shared" si="3"/>
        <v>0</v>
      </c>
      <c r="AB13" s="22">
        <f t="shared" si="4"/>
        <v>0</v>
      </c>
      <c r="AC13" s="23">
        <f t="shared" si="5"/>
        <v>0</v>
      </c>
      <c r="AD13" s="21">
        <f t="shared" si="8"/>
        <v>1</v>
      </c>
      <c r="AE13" s="24">
        <f t="shared" si="6"/>
        <v>1</v>
      </c>
      <c r="AF13" s="25" t="s">
        <v>67</v>
      </c>
      <c r="AG13" s="30" t="s">
        <v>68</v>
      </c>
      <c r="AH13" s="31"/>
      <c r="AI13" s="28"/>
      <c r="AJ13" s="29">
        <f t="shared" si="7"/>
        <v>0</v>
      </c>
    </row>
    <row r="14" spans="1:36" ht="18" customHeight="1" x14ac:dyDescent="0.45">
      <c r="A14" s="32">
        <v>13</v>
      </c>
      <c r="B14" s="33" t="s">
        <v>69</v>
      </c>
      <c r="C14" s="14"/>
      <c r="D14" s="14"/>
      <c r="E14" s="14"/>
      <c r="F14" s="14"/>
      <c r="G14" s="14"/>
      <c r="H14" s="14"/>
      <c r="I14" s="14">
        <v>1</v>
      </c>
      <c r="J14" s="14"/>
      <c r="K14" s="14"/>
      <c r="L14" s="14"/>
      <c r="M14" s="14"/>
      <c r="N14" s="14"/>
      <c r="O14" s="16"/>
      <c r="P14" s="17">
        <f t="shared" si="0"/>
        <v>1</v>
      </c>
      <c r="Q14" s="18">
        <v>95</v>
      </c>
      <c r="R14" s="14"/>
      <c r="S14" s="18"/>
      <c r="T14" s="18"/>
      <c r="U14" s="14"/>
      <c r="V14" s="18"/>
      <c r="W14" s="18"/>
      <c r="X14" s="14"/>
      <c r="Y14" s="19">
        <f t="shared" si="1"/>
        <v>1</v>
      </c>
      <c r="Z14" s="20">
        <f t="shared" si="2"/>
        <v>1</v>
      </c>
      <c r="AA14" s="21">
        <f t="shared" si="3"/>
        <v>0</v>
      </c>
      <c r="AB14" s="22">
        <f t="shared" si="4"/>
        <v>0</v>
      </c>
      <c r="AC14" s="23">
        <f t="shared" si="5"/>
        <v>0</v>
      </c>
      <c r="AD14" s="21">
        <f t="shared" si="8"/>
        <v>1</v>
      </c>
      <c r="AE14" s="24">
        <f t="shared" si="6"/>
        <v>1</v>
      </c>
      <c r="AF14" s="25" t="s">
        <v>70</v>
      </c>
      <c r="AG14" s="26" t="s">
        <v>71</v>
      </c>
      <c r="AH14" s="31"/>
      <c r="AI14" s="28"/>
      <c r="AJ14" s="29">
        <f t="shared" si="7"/>
        <v>0</v>
      </c>
    </row>
    <row r="15" spans="1:36" ht="18" customHeight="1" x14ac:dyDescent="0.45">
      <c r="A15" s="14">
        <v>14</v>
      </c>
      <c r="B15" s="15" t="s">
        <v>72</v>
      </c>
      <c r="C15" s="14"/>
      <c r="D15" s="14"/>
      <c r="E15" s="14"/>
      <c r="F15" s="14"/>
      <c r="G15" s="14"/>
      <c r="H15" s="14"/>
      <c r="I15" s="14">
        <v>1</v>
      </c>
      <c r="J15" s="14"/>
      <c r="K15" s="14"/>
      <c r="L15" s="14"/>
      <c r="M15" s="14"/>
      <c r="N15" s="14"/>
      <c r="O15" s="16"/>
      <c r="P15" s="17">
        <f t="shared" si="0"/>
        <v>1</v>
      </c>
      <c r="Q15" s="18"/>
      <c r="R15" s="14"/>
      <c r="S15" s="18"/>
      <c r="T15" s="18"/>
      <c r="U15" s="14"/>
      <c r="V15" s="18"/>
      <c r="W15" s="18"/>
      <c r="X15" s="14"/>
      <c r="Y15" s="19">
        <f t="shared" si="1"/>
        <v>0</v>
      </c>
      <c r="Z15" s="20">
        <f t="shared" si="2"/>
        <v>0</v>
      </c>
      <c r="AA15" s="21">
        <f t="shared" si="3"/>
        <v>0</v>
      </c>
      <c r="AB15" s="22">
        <f t="shared" si="4"/>
        <v>0</v>
      </c>
      <c r="AC15" s="23">
        <f t="shared" si="5"/>
        <v>0</v>
      </c>
      <c r="AD15" s="21">
        <f t="shared" si="8"/>
        <v>1</v>
      </c>
      <c r="AE15" s="24">
        <f t="shared" si="6"/>
        <v>1</v>
      </c>
      <c r="AF15" s="25" t="s">
        <v>73</v>
      </c>
      <c r="AG15" s="30" t="s">
        <v>74</v>
      </c>
      <c r="AH15" s="31"/>
      <c r="AI15" s="28"/>
      <c r="AJ15" s="29">
        <f t="shared" si="7"/>
        <v>0</v>
      </c>
    </row>
    <row r="16" spans="1:36" ht="18" customHeight="1" x14ac:dyDescent="0.45">
      <c r="A16" s="14">
        <v>15</v>
      </c>
      <c r="B16" s="15" t="s">
        <v>75</v>
      </c>
      <c r="C16" s="14"/>
      <c r="D16" s="14"/>
      <c r="E16" s="14"/>
      <c r="F16" s="14"/>
      <c r="G16" s="14"/>
      <c r="H16" s="14"/>
      <c r="I16" s="14">
        <v>1</v>
      </c>
      <c r="J16" s="14"/>
      <c r="K16" s="14"/>
      <c r="L16" s="14"/>
      <c r="M16" s="14"/>
      <c r="N16" s="14"/>
      <c r="O16" s="16"/>
      <c r="P16" s="17">
        <f t="shared" si="0"/>
        <v>1</v>
      </c>
      <c r="Q16" s="18"/>
      <c r="R16" s="14"/>
      <c r="S16" s="18"/>
      <c r="T16" s="18"/>
      <c r="U16" s="14"/>
      <c r="V16" s="18"/>
      <c r="W16" s="18"/>
      <c r="X16" s="14"/>
      <c r="Y16" s="19">
        <f t="shared" si="1"/>
        <v>0</v>
      </c>
      <c r="Z16" s="20">
        <f t="shared" si="2"/>
        <v>0</v>
      </c>
      <c r="AA16" s="21">
        <f t="shared" si="3"/>
        <v>0</v>
      </c>
      <c r="AB16" s="22">
        <f t="shared" si="4"/>
        <v>0</v>
      </c>
      <c r="AC16" s="23">
        <f t="shared" si="5"/>
        <v>0</v>
      </c>
      <c r="AD16" s="21">
        <f t="shared" si="8"/>
        <v>1</v>
      </c>
      <c r="AE16" s="24">
        <f t="shared" si="6"/>
        <v>1</v>
      </c>
      <c r="AF16" s="25" t="s">
        <v>76</v>
      </c>
      <c r="AG16" s="26" t="s">
        <v>77</v>
      </c>
      <c r="AH16" s="31"/>
      <c r="AI16" s="28"/>
      <c r="AJ16" s="29">
        <f t="shared" si="7"/>
        <v>0</v>
      </c>
    </row>
    <row r="17" spans="1:36" ht="18" customHeight="1" x14ac:dyDescent="0.45">
      <c r="A17" s="14">
        <v>16</v>
      </c>
      <c r="B17" s="15" t="s">
        <v>78</v>
      </c>
      <c r="C17" s="14"/>
      <c r="D17" s="14"/>
      <c r="E17" s="14"/>
      <c r="F17" s="14"/>
      <c r="G17" s="14"/>
      <c r="H17" s="14"/>
      <c r="I17" s="14">
        <v>2</v>
      </c>
      <c r="J17" s="14"/>
      <c r="K17" s="14"/>
      <c r="L17" s="14"/>
      <c r="M17" s="14"/>
      <c r="N17" s="14"/>
      <c r="O17" s="16"/>
      <c r="P17" s="17">
        <f t="shared" si="0"/>
        <v>2</v>
      </c>
      <c r="Q17" s="18"/>
      <c r="R17" s="14"/>
      <c r="S17" s="18"/>
      <c r="T17" s="18"/>
      <c r="U17" s="14"/>
      <c r="V17" s="18"/>
      <c r="W17" s="18"/>
      <c r="X17" s="14"/>
      <c r="Y17" s="19">
        <f t="shared" si="1"/>
        <v>0</v>
      </c>
      <c r="Z17" s="20">
        <f t="shared" si="2"/>
        <v>0</v>
      </c>
      <c r="AA17" s="21">
        <f t="shared" si="3"/>
        <v>0</v>
      </c>
      <c r="AB17" s="22">
        <f t="shared" si="4"/>
        <v>0</v>
      </c>
      <c r="AC17" s="23">
        <f t="shared" si="5"/>
        <v>0</v>
      </c>
      <c r="AD17" s="21">
        <f t="shared" si="8"/>
        <v>2</v>
      </c>
      <c r="AE17" s="24">
        <f t="shared" si="6"/>
        <v>2</v>
      </c>
      <c r="AF17" s="25" t="s">
        <v>79</v>
      </c>
      <c r="AG17" s="30" t="s">
        <v>80</v>
      </c>
      <c r="AH17" s="31"/>
      <c r="AI17" s="28"/>
      <c r="AJ17" s="29">
        <f t="shared" si="7"/>
        <v>0</v>
      </c>
    </row>
    <row r="18" spans="1:36" ht="18" customHeight="1" x14ac:dyDescent="0.45">
      <c r="A18" s="14">
        <v>17</v>
      </c>
      <c r="B18" s="15" t="s">
        <v>81</v>
      </c>
      <c r="C18" s="14"/>
      <c r="D18" s="14"/>
      <c r="E18" s="14"/>
      <c r="F18" s="14"/>
      <c r="G18" s="14"/>
      <c r="H18" s="14"/>
      <c r="I18" s="14" t="s">
        <v>137</v>
      </c>
      <c r="J18" s="14"/>
      <c r="K18" s="14"/>
      <c r="L18" s="14"/>
      <c r="M18" s="14"/>
      <c r="N18" s="14"/>
      <c r="O18" s="16"/>
      <c r="P18" s="17" t="str">
        <f t="shared" si="0"/>
        <v/>
      </c>
      <c r="Q18" s="18"/>
      <c r="R18" s="14"/>
      <c r="S18" s="18"/>
      <c r="T18" s="18"/>
      <c r="U18" s="14"/>
      <c r="V18" s="18"/>
      <c r="W18" s="18"/>
      <c r="X18" s="14"/>
      <c r="Y18" s="19">
        <f t="shared" si="1"/>
        <v>0</v>
      </c>
      <c r="Z18" s="20">
        <f t="shared" si="2"/>
        <v>0</v>
      </c>
      <c r="AA18" s="21">
        <f t="shared" si="3"/>
        <v>0</v>
      </c>
      <c r="AB18" s="22">
        <f t="shared" si="4"/>
        <v>0</v>
      </c>
      <c r="AC18" s="23">
        <f t="shared" si="5"/>
        <v>0</v>
      </c>
      <c r="AD18" s="21" t="str">
        <f t="shared" si="8"/>
        <v/>
      </c>
      <c r="AE18" s="24" t="str">
        <f t="shared" si="6"/>
        <v/>
      </c>
      <c r="AF18" s="25" t="s">
        <v>82</v>
      </c>
      <c r="AG18" s="26" t="s">
        <v>83</v>
      </c>
      <c r="AH18" s="31"/>
      <c r="AI18" s="28"/>
      <c r="AJ18" s="29">
        <f t="shared" si="7"/>
        <v>0</v>
      </c>
    </row>
    <row r="19" spans="1:36" ht="18" customHeight="1" x14ac:dyDescent="0.45">
      <c r="A19" s="14">
        <v>18</v>
      </c>
      <c r="B19" s="15" t="s">
        <v>84</v>
      </c>
      <c r="C19" s="14"/>
      <c r="D19" s="14"/>
      <c r="E19" s="14"/>
      <c r="F19" s="14"/>
      <c r="G19" s="14"/>
      <c r="H19" s="14"/>
      <c r="I19" s="14">
        <v>2</v>
      </c>
      <c r="J19" s="14"/>
      <c r="K19" s="14"/>
      <c r="L19" s="14"/>
      <c r="M19" s="14"/>
      <c r="N19" s="14"/>
      <c r="O19" s="16"/>
      <c r="P19" s="17">
        <f t="shared" si="0"/>
        <v>2</v>
      </c>
      <c r="Q19" s="18"/>
      <c r="R19" s="14"/>
      <c r="S19" s="18"/>
      <c r="T19" s="18"/>
      <c r="U19" s="14"/>
      <c r="V19" s="18"/>
      <c r="W19" s="18"/>
      <c r="X19" s="14"/>
      <c r="Y19" s="19">
        <f t="shared" si="1"/>
        <v>0</v>
      </c>
      <c r="Z19" s="20">
        <f t="shared" si="2"/>
        <v>0</v>
      </c>
      <c r="AA19" s="21">
        <f t="shared" si="3"/>
        <v>0</v>
      </c>
      <c r="AB19" s="22">
        <f t="shared" si="4"/>
        <v>0</v>
      </c>
      <c r="AC19" s="23">
        <f t="shared" si="5"/>
        <v>0</v>
      </c>
      <c r="AD19" s="21">
        <f t="shared" si="8"/>
        <v>2</v>
      </c>
      <c r="AE19" s="24">
        <f t="shared" si="6"/>
        <v>2</v>
      </c>
      <c r="AF19" s="25" t="s">
        <v>85</v>
      </c>
      <c r="AG19" s="30" t="s">
        <v>86</v>
      </c>
      <c r="AH19" s="31"/>
      <c r="AI19" s="28"/>
      <c r="AJ19" s="29">
        <f t="shared" si="7"/>
        <v>0</v>
      </c>
    </row>
    <row r="20" spans="1:36" ht="18" customHeight="1" x14ac:dyDescent="0.45">
      <c r="A20" s="14">
        <v>19</v>
      </c>
      <c r="B20" s="15" t="s">
        <v>87</v>
      </c>
      <c r="C20" s="14"/>
      <c r="D20" s="14"/>
      <c r="E20" s="14"/>
      <c r="F20" s="14"/>
      <c r="G20" s="14"/>
      <c r="H20" s="14"/>
      <c r="I20" s="14">
        <v>3</v>
      </c>
      <c r="J20" s="14"/>
      <c r="K20" s="14"/>
      <c r="L20" s="14"/>
      <c r="M20" s="14"/>
      <c r="N20" s="14"/>
      <c r="O20" s="16"/>
      <c r="P20" s="17">
        <f t="shared" si="0"/>
        <v>3</v>
      </c>
      <c r="Q20" s="18"/>
      <c r="R20" s="14"/>
      <c r="S20" s="18"/>
      <c r="T20" s="18"/>
      <c r="U20" s="14"/>
      <c r="V20" s="18"/>
      <c r="W20" s="18"/>
      <c r="X20" s="14"/>
      <c r="Y20" s="19">
        <f t="shared" si="1"/>
        <v>0</v>
      </c>
      <c r="Z20" s="20">
        <f t="shared" si="2"/>
        <v>0</v>
      </c>
      <c r="AA20" s="21">
        <f t="shared" si="3"/>
        <v>0</v>
      </c>
      <c r="AB20" s="22">
        <f t="shared" si="4"/>
        <v>0</v>
      </c>
      <c r="AC20" s="23">
        <f t="shared" si="5"/>
        <v>0</v>
      </c>
      <c r="AD20" s="21">
        <f t="shared" si="8"/>
        <v>3</v>
      </c>
      <c r="AE20" s="24">
        <f t="shared" si="6"/>
        <v>3</v>
      </c>
      <c r="AF20" s="25" t="s">
        <v>88</v>
      </c>
      <c r="AG20" s="26" t="s">
        <v>89</v>
      </c>
      <c r="AH20" s="31"/>
      <c r="AI20" s="28"/>
      <c r="AJ20" s="29">
        <f t="shared" si="7"/>
        <v>0</v>
      </c>
    </row>
    <row r="21" spans="1:36" ht="18" customHeight="1" x14ac:dyDescent="0.45">
      <c r="A21" s="14">
        <v>20</v>
      </c>
      <c r="B21" s="15" t="s">
        <v>90</v>
      </c>
      <c r="C21" s="14"/>
      <c r="D21" s="14"/>
      <c r="E21" s="14"/>
      <c r="F21" s="14"/>
      <c r="G21" s="14"/>
      <c r="H21" s="14"/>
      <c r="I21" s="14">
        <v>1</v>
      </c>
      <c r="J21" s="14"/>
      <c r="K21" s="14"/>
      <c r="L21" s="14"/>
      <c r="M21" s="14"/>
      <c r="N21" s="14"/>
      <c r="O21" s="16"/>
      <c r="P21" s="17">
        <f t="shared" si="0"/>
        <v>1</v>
      </c>
      <c r="Q21" s="18">
        <v>95</v>
      </c>
      <c r="R21" s="18"/>
      <c r="S21" s="18"/>
      <c r="T21" s="18"/>
      <c r="U21" s="18"/>
      <c r="V21" s="18"/>
      <c r="W21" s="18"/>
      <c r="X21" s="18"/>
      <c r="Y21" s="19">
        <f t="shared" si="1"/>
        <v>1</v>
      </c>
      <c r="Z21" s="20">
        <f t="shared" si="2"/>
        <v>1</v>
      </c>
      <c r="AA21" s="21">
        <f t="shared" si="3"/>
        <v>0</v>
      </c>
      <c r="AB21" s="22">
        <f t="shared" si="4"/>
        <v>0</v>
      </c>
      <c r="AC21" s="23">
        <f t="shared" si="5"/>
        <v>0</v>
      </c>
      <c r="AD21" s="21">
        <f t="shared" si="8"/>
        <v>1</v>
      </c>
      <c r="AE21" s="24">
        <f t="shared" si="6"/>
        <v>1</v>
      </c>
      <c r="AF21" s="25" t="s">
        <v>91</v>
      </c>
      <c r="AG21" s="30" t="s">
        <v>92</v>
      </c>
      <c r="AH21" s="31"/>
      <c r="AI21" s="28"/>
      <c r="AJ21" s="29">
        <f t="shared" si="7"/>
        <v>0</v>
      </c>
    </row>
    <row r="22" spans="1:36" ht="18" customHeight="1" x14ac:dyDescent="0.45">
      <c r="A22" s="14">
        <v>21</v>
      </c>
      <c r="B22" s="15" t="s">
        <v>93</v>
      </c>
      <c r="C22" s="14"/>
      <c r="D22" s="14"/>
      <c r="E22" s="14"/>
      <c r="F22" s="14"/>
      <c r="G22" s="14"/>
      <c r="H22" s="14"/>
      <c r="I22" s="14">
        <v>1</v>
      </c>
      <c r="J22" s="14"/>
      <c r="K22" s="14"/>
      <c r="L22" s="14"/>
      <c r="M22" s="14"/>
      <c r="N22" s="14"/>
      <c r="O22" s="16"/>
      <c r="P22" s="17">
        <f t="shared" si="0"/>
        <v>1</v>
      </c>
      <c r="Q22" s="18">
        <v>99</v>
      </c>
      <c r="R22" s="18"/>
      <c r="S22" s="18"/>
      <c r="T22" s="18"/>
      <c r="U22" s="18"/>
      <c r="V22" s="18"/>
      <c r="W22" s="18"/>
      <c r="X22" s="18"/>
      <c r="Y22" s="19">
        <f t="shared" si="1"/>
        <v>1</v>
      </c>
      <c r="Z22" s="20">
        <f t="shared" si="2"/>
        <v>1</v>
      </c>
      <c r="AA22" s="21">
        <f t="shared" si="3"/>
        <v>0</v>
      </c>
      <c r="AB22" s="22">
        <f t="shared" si="4"/>
        <v>0</v>
      </c>
      <c r="AC22" s="23">
        <f t="shared" si="5"/>
        <v>0</v>
      </c>
      <c r="AD22" s="21">
        <f t="shared" si="8"/>
        <v>1</v>
      </c>
      <c r="AE22" s="24">
        <f t="shared" si="6"/>
        <v>1</v>
      </c>
      <c r="AF22" s="25" t="s">
        <v>94</v>
      </c>
      <c r="AG22" s="26" t="s">
        <v>95</v>
      </c>
      <c r="AH22" s="31"/>
      <c r="AI22" s="28"/>
      <c r="AJ22" s="29">
        <f t="shared" si="7"/>
        <v>0</v>
      </c>
    </row>
    <row r="23" spans="1:36" ht="18" customHeight="1" x14ac:dyDescent="0.45">
      <c r="A23" s="14">
        <v>22</v>
      </c>
      <c r="B23" s="15" t="s">
        <v>96</v>
      </c>
      <c r="C23" s="14"/>
      <c r="D23" s="14"/>
      <c r="E23" s="14"/>
      <c r="F23" s="14"/>
      <c r="G23" s="14"/>
      <c r="H23" s="14"/>
      <c r="I23" s="14">
        <v>1</v>
      </c>
      <c r="J23" s="14"/>
      <c r="K23" s="14"/>
      <c r="L23" s="14"/>
      <c r="M23" s="14"/>
      <c r="N23" s="14"/>
      <c r="O23" s="16"/>
      <c r="P23" s="17">
        <f t="shared" si="0"/>
        <v>1</v>
      </c>
      <c r="Q23" s="18"/>
      <c r="R23" s="18"/>
      <c r="S23" s="18"/>
      <c r="T23" s="18"/>
      <c r="U23" s="18"/>
      <c r="V23" s="18"/>
      <c r="W23" s="18"/>
      <c r="X23" s="18"/>
      <c r="Y23" s="19">
        <f t="shared" si="1"/>
        <v>0</v>
      </c>
      <c r="Z23" s="20">
        <f t="shared" si="2"/>
        <v>0</v>
      </c>
      <c r="AA23" s="21">
        <f t="shared" si="3"/>
        <v>0</v>
      </c>
      <c r="AB23" s="22">
        <f t="shared" si="4"/>
        <v>0</v>
      </c>
      <c r="AC23" s="23">
        <f t="shared" si="5"/>
        <v>0</v>
      </c>
      <c r="AD23" s="21">
        <f t="shared" si="8"/>
        <v>1</v>
      </c>
      <c r="AE23" s="24">
        <f t="shared" si="6"/>
        <v>1</v>
      </c>
      <c r="AF23" s="25" t="s">
        <v>97</v>
      </c>
      <c r="AG23" s="30" t="s">
        <v>98</v>
      </c>
      <c r="AH23" s="31"/>
      <c r="AI23" s="28"/>
      <c r="AJ23" s="29">
        <f t="shared" si="7"/>
        <v>0</v>
      </c>
    </row>
    <row r="24" spans="1:36" ht="18" customHeight="1" x14ac:dyDescent="0.45">
      <c r="A24" s="14">
        <v>23</v>
      </c>
      <c r="B24" s="15" t="s">
        <v>99</v>
      </c>
      <c r="C24" s="14"/>
      <c r="D24" s="14"/>
      <c r="E24" s="14"/>
      <c r="F24" s="14"/>
      <c r="G24" s="14"/>
      <c r="H24" s="14"/>
      <c r="I24" s="14">
        <v>1</v>
      </c>
      <c r="J24" s="14"/>
      <c r="K24" s="14"/>
      <c r="L24" s="14"/>
      <c r="M24" s="14"/>
      <c r="N24" s="14"/>
      <c r="O24" s="16"/>
      <c r="P24" s="17">
        <f t="shared" si="0"/>
        <v>1</v>
      </c>
      <c r="Q24" s="18"/>
      <c r="R24" s="14"/>
      <c r="S24" s="18"/>
      <c r="T24" s="18"/>
      <c r="U24" s="14"/>
      <c r="V24" s="18"/>
      <c r="W24" s="18"/>
      <c r="X24" s="14"/>
      <c r="Y24" s="19">
        <f t="shared" si="1"/>
        <v>0</v>
      </c>
      <c r="Z24" s="20">
        <f t="shared" si="2"/>
        <v>0</v>
      </c>
      <c r="AA24" s="21">
        <f t="shared" si="3"/>
        <v>0</v>
      </c>
      <c r="AB24" s="22">
        <f t="shared" si="4"/>
        <v>0</v>
      </c>
      <c r="AC24" s="23">
        <f t="shared" si="5"/>
        <v>0</v>
      </c>
      <c r="AD24" s="21">
        <f t="shared" si="8"/>
        <v>1</v>
      </c>
      <c r="AE24" s="24">
        <f t="shared" si="6"/>
        <v>1</v>
      </c>
      <c r="AF24" s="25" t="s">
        <v>100</v>
      </c>
      <c r="AG24" s="26" t="s">
        <v>101</v>
      </c>
      <c r="AH24" s="31"/>
      <c r="AI24" s="28"/>
      <c r="AJ24" s="29">
        <f t="shared" si="7"/>
        <v>0</v>
      </c>
    </row>
    <row r="25" spans="1:36" ht="18" customHeight="1" x14ac:dyDescent="0.45">
      <c r="A25" s="14">
        <v>24</v>
      </c>
      <c r="B25" s="15" t="s">
        <v>102</v>
      </c>
      <c r="C25" s="14"/>
      <c r="D25" s="14"/>
      <c r="E25" s="14"/>
      <c r="F25" s="14"/>
      <c r="G25" s="14"/>
      <c r="H25" s="14"/>
      <c r="I25" s="14" t="s">
        <v>137</v>
      </c>
      <c r="J25" s="14"/>
      <c r="K25" s="14"/>
      <c r="L25" s="14"/>
      <c r="M25" s="14"/>
      <c r="N25" s="14"/>
      <c r="O25" s="16"/>
      <c r="P25" s="17" t="str">
        <f t="shared" si="0"/>
        <v/>
      </c>
      <c r="Q25" s="18">
        <v>97</v>
      </c>
      <c r="R25" s="14"/>
      <c r="S25" s="18"/>
      <c r="T25" s="18"/>
      <c r="U25" s="14"/>
      <c r="V25" s="18"/>
      <c r="W25" s="18"/>
      <c r="X25" s="14"/>
      <c r="Y25" s="19">
        <f t="shared" si="1"/>
        <v>1</v>
      </c>
      <c r="Z25" s="20">
        <f t="shared" si="2"/>
        <v>1</v>
      </c>
      <c r="AA25" s="21">
        <f t="shared" si="3"/>
        <v>0</v>
      </c>
      <c r="AB25" s="22">
        <f t="shared" si="4"/>
        <v>0</v>
      </c>
      <c r="AC25" s="23">
        <f t="shared" si="5"/>
        <v>0</v>
      </c>
      <c r="AD25" s="21" t="str">
        <f t="shared" si="8"/>
        <v/>
      </c>
      <c r="AE25" s="24" t="str">
        <f t="shared" si="6"/>
        <v/>
      </c>
      <c r="AF25" s="25" t="s">
        <v>103</v>
      </c>
      <c r="AG25" s="30" t="s">
        <v>104</v>
      </c>
      <c r="AH25" s="31"/>
      <c r="AI25" s="28"/>
      <c r="AJ25" s="29">
        <f t="shared" si="7"/>
        <v>0</v>
      </c>
    </row>
    <row r="26" spans="1:36" ht="18" customHeight="1" x14ac:dyDescent="0.45">
      <c r="A26" s="14">
        <v>25</v>
      </c>
      <c r="B26" s="15" t="s">
        <v>105</v>
      </c>
      <c r="C26" s="14"/>
      <c r="D26" s="14"/>
      <c r="E26" s="14"/>
      <c r="F26" s="14"/>
      <c r="G26" s="14"/>
      <c r="H26" s="14"/>
      <c r="I26" s="14">
        <v>1</v>
      </c>
      <c r="J26" s="14"/>
      <c r="K26" s="14"/>
      <c r="L26" s="14"/>
      <c r="M26" s="14"/>
      <c r="N26" s="14"/>
      <c r="O26" s="16"/>
      <c r="P26" s="17">
        <f t="shared" si="0"/>
        <v>1</v>
      </c>
      <c r="Q26" s="18">
        <v>97</v>
      </c>
      <c r="R26" s="14"/>
      <c r="S26" s="18"/>
      <c r="T26" s="18"/>
      <c r="U26" s="14"/>
      <c r="V26" s="18"/>
      <c r="W26" s="18"/>
      <c r="X26" s="14"/>
      <c r="Y26" s="19">
        <f t="shared" si="1"/>
        <v>1</v>
      </c>
      <c r="Z26" s="20">
        <f t="shared" si="2"/>
        <v>1</v>
      </c>
      <c r="AA26" s="21">
        <f t="shared" si="3"/>
        <v>0</v>
      </c>
      <c r="AB26" s="22">
        <f t="shared" si="4"/>
        <v>0</v>
      </c>
      <c r="AC26" s="23">
        <f t="shared" si="5"/>
        <v>0</v>
      </c>
      <c r="AD26" s="21">
        <f t="shared" si="8"/>
        <v>1</v>
      </c>
      <c r="AE26" s="24">
        <f t="shared" si="6"/>
        <v>1</v>
      </c>
      <c r="AF26" s="25" t="s">
        <v>106</v>
      </c>
      <c r="AG26" s="26" t="s">
        <v>107</v>
      </c>
      <c r="AH26" s="31"/>
      <c r="AI26" s="28"/>
      <c r="AJ26" s="29">
        <f t="shared" si="7"/>
        <v>0</v>
      </c>
    </row>
    <row r="27" spans="1:36" ht="18" customHeight="1" x14ac:dyDescent="0.45">
      <c r="A27" s="14">
        <v>26</v>
      </c>
      <c r="B27" s="15" t="s">
        <v>108</v>
      </c>
      <c r="C27" s="14"/>
      <c r="D27" s="14"/>
      <c r="E27" s="14"/>
      <c r="F27" s="14"/>
      <c r="G27" s="14"/>
      <c r="H27" s="14"/>
      <c r="I27" s="14">
        <v>1</v>
      </c>
      <c r="J27" s="14"/>
      <c r="K27" s="14"/>
      <c r="L27" s="14"/>
      <c r="M27" s="14"/>
      <c r="N27" s="14"/>
      <c r="O27" s="16"/>
      <c r="P27" s="17">
        <f t="shared" si="0"/>
        <v>1</v>
      </c>
      <c r="Q27" s="18"/>
      <c r="R27" s="14"/>
      <c r="S27" s="18"/>
      <c r="T27" s="18"/>
      <c r="U27" s="14"/>
      <c r="V27" s="18"/>
      <c r="W27" s="18"/>
      <c r="X27" s="14"/>
      <c r="Y27" s="19">
        <f t="shared" si="1"/>
        <v>0</v>
      </c>
      <c r="Z27" s="20">
        <f t="shared" si="2"/>
        <v>0</v>
      </c>
      <c r="AA27" s="21">
        <f t="shared" si="3"/>
        <v>0</v>
      </c>
      <c r="AB27" s="22">
        <f t="shared" si="4"/>
        <v>0</v>
      </c>
      <c r="AC27" s="23">
        <f t="shared" si="5"/>
        <v>0</v>
      </c>
      <c r="AD27" s="21">
        <f t="shared" si="8"/>
        <v>1</v>
      </c>
      <c r="AE27" s="24">
        <f t="shared" si="6"/>
        <v>1</v>
      </c>
      <c r="AF27" s="25" t="s">
        <v>109</v>
      </c>
      <c r="AG27" s="30" t="s">
        <v>110</v>
      </c>
      <c r="AH27" s="31"/>
      <c r="AI27" s="28"/>
      <c r="AJ27" s="29">
        <f t="shared" si="7"/>
        <v>0</v>
      </c>
    </row>
    <row r="28" spans="1:36" ht="18" customHeight="1" x14ac:dyDescent="0.45">
      <c r="A28" s="14">
        <v>27</v>
      </c>
      <c r="B28" s="15" t="s">
        <v>111</v>
      </c>
      <c r="C28" s="34"/>
      <c r="D28" s="34"/>
      <c r="E28" s="14"/>
      <c r="F28" s="14"/>
      <c r="G28" s="14"/>
      <c r="H28" s="14"/>
      <c r="I28" s="34">
        <v>1</v>
      </c>
      <c r="J28" s="34"/>
      <c r="K28" s="34"/>
      <c r="L28" s="14"/>
      <c r="M28" s="14"/>
      <c r="N28" s="14"/>
      <c r="O28" s="35"/>
      <c r="P28" s="36">
        <f t="shared" si="0"/>
        <v>1</v>
      </c>
      <c r="Q28" s="34">
        <v>97</v>
      </c>
      <c r="R28" s="34"/>
      <c r="S28" s="34"/>
      <c r="T28" s="34"/>
      <c r="U28" s="34"/>
      <c r="V28" s="34"/>
      <c r="W28" s="34"/>
      <c r="X28" s="34"/>
      <c r="Y28" s="37">
        <f t="shared" si="1"/>
        <v>1</v>
      </c>
      <c r="Z28" s="38">
        <f t="shared" si="2"/>
        <v>1</v>
      </c>
      <c r="AA28" s="39">
        <f t="shared" si="3"/>
        <v>0</v>
      </c>
      <c r="AB28" s="40">
        <f t="shared" si="4"/>
        <v>0</v>
      </c>
      <c r="AC28" s="41">
        <f t="shared" si="5"/>
        <v>0</v>
      </c>
      <c r="AD28" s="21">
        <f t="shared" si="8"/>
        <v>1</v>
      </c>
      <c r="AE28" s="42">
        <f t="shared" si="6"/>
        <v>1</v>
      </c>
      <c r="AF28" s="25" t="s">
        <v>112</v>
      </c>
      <c r="AG28" s="26" t="s">
        <v>113</v>
      </c>
      <c r="AH28" s="31"/>
      <c r="AI28" s="28"/>
      <c r="AJ28" s="29">
        <f t="shared" si="7"/>
        <v>0</v>
      </c>
    </row>
    <row r="29" spans="1:36" ht="18" customHeight="1" x14ac:dyDescent="0.45">
      <c r="A29" s="14">
        <v>28</v>
      </c>
      <c r="B29" s="15" t="s">
        <v>114</v>
      </c>
      <c r="C29" s="34"/>
      <c r="D29" s="34"/>
      <c r="E29" s="14"/>
      <c r="F29" s="14"/>
      <c r="G29" s="14"/>
      <c r="H29" s="14"/>
      <c r="I29" s="34">
        <v>2</v>
      </c>
      <c r="J29" s="34"/>
      <c r="K29" s="34"/>
      <c r="L29" s="14"/>
      <c r="M29" s="14"/>
      <c r="N29" s="14"/>
      <c r="O29" s="35"/>
      <c r="P29" s="36">
        <f t="shared" si="0"/>
        <v>2</v>
      </c>
      <c r="Q29" s="34"/>
      <c r="R29" s="34"/>
      <c r="S29" s="34"/>
      <c r="T29" s="34"/>
      <c r="U29" s="34"/>
      <c r="V29" s="34"/>
      <c r="W29" s="34"/>
      <c r="X29" s="34"/>
      <c r="Y29" s="37">
        <f t="shared" si="1"/>
        <v>0</v>
      </c>
      <c r="Z29" s="38">
        <f t="shared" si="2"/>
        <v>0</v>
      </c>
      <c r="AA29" s="39">
        <f t="shared" si="3"/>
        <v>0</v>
      </c>
      <c r="AB29" s="40">
        <f t="shared" si="4"/>
        <v>0</v>
      </c>
      <c r="AC29" s="41">
        <f t="shared" si="5"/>
        <v>0</v>
      </c>
      <c r="AD29" s="21">
        <f t="shared" si="8"/>
        <v>2</v>
      </c>
      <c r="AE29" s="42">
        <f t="shared" si="6"/>
        <v>2</v>
      </c>
      <c r="AF29" s="25" t="s">
        <v>115</v>
      </c>
      <c r="AG29" s="30" t="s">
        <v>116</v>
      </c>
      <c r="AH29" s="31"/>
      <c r="AI29" s="28"/>
      <c r="AJ29" s="29">
        <f t="shared" si="7"/>
        <v>0</v>
      </c>
    </row>
    <row r="30" spans="1:36" ht="18" customHeight="1" x14ac:dyDescent="0.45">
      <c r="C30" s="43"/>
      <c r="D30" s="43"/>
      <c r="E30" s="43"/>
      <c r="F30" s="43"/>
      <c r="G30" s="43"/>
      <c r="I30" s="43"/>
      <c r="J30" s="43"/>
      <c r="K30" s="43"/>
      <c r="L30" s="43"/>
      <c r="M30" s="43"/>
      <c r="O30" s="43"/>
      <c r="P30" s="44" t="str">
        <f>IFERROR((IF(ISNUMBER(C30),C30*3,0)+IF(ISNUMBER(D30),D30*3,0)+IF(ISNUMBER(E30),E30*3,0)+IF(ISNUMBER(F30),F30*3,0)+IF(ISNUMBER(G30),G30*3,0)+IF(ISNUMBER(H30),H30*2,0)+IF(ISNUMBER(I30),I30*2,0)+IF(ISNUMBER(J30),J30*2,0)+IF(ISNUMBER(K30),K30*2,0)+IF(ISNUMBER(L30),L30*2,0)+IF(ISNUMBER(M30),M30*1,0))/(IF(ISNUMBER(C30),3,0)+IF(ISNUMBER(D30),3,0)+IF(ISNUMBER(E30),3,0)+IF(ISNUMBER(F30),3,0)+IF(ISNUMBER(G30),3,0)+IF(ISNUMBER(H30),2,0)+IF(ISNUMBER(I30),2,0)+IF(ISNUMBER(J30),2,0)+IF(ISNUMBER(K30),2,0)+IF(ISNUMBER(L30),2,0)+IF(ISNUMBER(M30),1,0)),"")</f>
        <v/>
      </c>
      <c r="Q30" s="43"/>
      <c r="R30" s="43"/>
      <c r="S30" s="43"/>
      <c r="T30" s="43"/>
      <c r="U30" s="43"/>
      <c r="V30" s="43"/>
      <c r="W30" s="43"/>
      <c r="X30" s="43"/>
      <c r="Y30" s="45" t="str">
        <f>IF(ISBLANK(B30),"",COUNTIF(O30:V30,"&gt;0"))</f>
        <v/>
      </c>
      <c r="Z30" s="46" t="str">
        <f>IF(ISBLANK(B30),"",IF(W30=0,0,W30/$AF$2))</f>
        <v/>
      </c>
      <c r="AA30" s="47" t="str">
        <f>IF(ISBLANK(B30),"",IF(W30&lt;3,0,IF((IF(O30&gt;=60,1,0)+IF(P30&gt;=60,1,0)+IF(Q30&gt;=60,1,0)+IF(R30&gt;=60,1,0)+IF(S30&gt;=60,1,0)+IF(T30&gt;=60,1,0)+IF(U30&gt;=60,1,0)+IF(V30&gt;=60,1,0))&gt;0,(IF(O30&gt;=60,IF(O30&gt;=90,-0.25,IF(O30&gt;=75,-0.15,-0.1)),0)+IF(P30&gt;=60,IF(P30&gt;=90,-0.25,IF(P30&gt;=75,-0.15,-0.1)),0)+IF(Q30&gt;=60,IF(Q30&gt;=90,-0.25,IF(Q30&gt;=75,-0.15,-0.1)),0)+IF(R30&gt;=60,IF(R30&gt;=90,-0.25,IF(R30&gt;=75,-0.15,-0.1)),0)+IF(S30&gt;=60,IF(S30&gt;=90,-0.25,IF(S30&gt;=75,-0.15,-0.1)),0)+IF(T30&gt;=60,IF(T30&gt;=90,-0.25,IF(T30&gt;=75,-0.15,-0.1)),0)+IF(U30&gt;=60,IF(U30&gt;=90,-0.25,IF(U30&gt;=75,-0.15,-0.1)),0)+IF(V30&gt;=60,IF(V30&gt;=90,-0.25,IF(V30&gt;=75,-0.15,-0.1)),0))/(IF(O30&gt;=60,1,0)+IF(P30&gt;=60,1,0)+IF(Q30&gt;=60,1,0)+IF(R30&gt;=60,1,0)+IF(S30&gt;=60,1,0)+IF(T30&gt;=60,1,0)+IF(U30&gt;=60,1,0)+IF(V30&gt;=60,1,0)),0)))</f>
        <v/>
      </c>
      <c r="AB30" s="48" t="str">
        <f>IF(ISBLANK(B30),"",IF(AND(W30&gt;=3,X30&gt;=0.75),-0.05,0))</f>
        <v/>
      </c>
      <c r="AC30" s="49" t="str">
        <f>IF(ISBLANK(B30),"",IFERROR(Y30+Z30,""))</f>
        <v/>
      </c>
      <c r="AD30" s="47" t="str">
        <f>IF(ISBLANK(B30),"",IF(AND(ISNUMBER(N30),ISNUMBER(AA30)),N30+AA30,""))</f>
        <v/>
      </c>
      <c r="AE30" s="50" t="str">
        <f>IF(ISBLANK(B30),"",IFERROR(IF(ISNUMBER(AB30),IF(AB30&lt;=1.5,1,IF(AB30&lt;=2.5,2,IF(AB30&lt;=3.5,3,IF(AB30&lt;=4.5,4,5)))),""),""))</f>
        <v/>
      </c>
    </row>
    <row r="31" spans="1:36" ht="15" customHeight="1" x14ac:dyDescent="0.35">
      <c r="A31" s="51"/>
      <c r="B31" s="52" t="s">
        <v>117</v>
      </c>
      <c r="P31" t="str">
        <f t="shared" ref="P31:P42" si="9">IFERROR((IF(ISNUMBER(C31),C31*3,0)+IF(ISNUMBER(D31),D31*3,0)+IF(ISNUMBER(E31),E31*3,0)+IF(ISNUMBER(F31),F31*3,0)+IF(ISNUMBER(G31),G31*3,0)+IF(ISNUMBER(H31),H31*3,0)+IF(ISNUMBER(I31),I31*2,0)+IF(ISNUMBER(J31),J31*2,0)+IF(ISNUMBER(K31),K31*2,0)+IF(ISNUMBER(L31),L31*2,0)+IF(ISNUMBER(M31),M31*2,0)+IF(ISNUMBER(N31),N31*2,0)+IF(ISNUMBER(O31),O31*1,0))/(IF(ISNUMBER(C31),3,0)+IF(ISNUMBER(D31),3,0)+IF(ISNUMBER(E31),3,0)+IF(ISNUMBER(F31),3,0)+IF(ISNUMBER(G31),3,0)+IF(ISNUMBER(H31),3,0)+IF(ISNUMBER(I31),2,0)+IF(ISNUMBER(J31),2,0)+IF(ISNUMBER(K31),2,0)+IF(ISNUMBER(L31),2,0)+IF(ISNUMBER(M31),2,0)+IF(ISNUMBER(N31),2,0)+IF(ISNUMBER(O31),1,0)),"")</f>
        <v/>
      </c>
      <c r="Y31" s="53">
        <f t="shared" ref="Y31:Y42" si="10">IF(ISBLANK(B31),"",COUNTIF(Q31:X31,"&gt;0"))</f>
        <v>0</v>
      </c>
      <c r="Z31" s="54">
        <f t="shared" ref="Z31:Z42" si="11">IF(ISBLANK(B31),"",IF(Y31=0,0,Y31/$AH$2))</f>
        <v>0</v>
      </c>
      <c r="AA31" s="53">
        <f t="shared" ref="AA31:AA42" si="12">IF(ISBLANK(B31),"",IF(Y31&lt;3,0,IF((IF(Q31&gt;=60,1,0)+IF(R31&gt;=60,1,0)+IF(S31&gt;=60,1,0)+IF(T31&gt;=60,1,0)+IF(U31&gt;=60,1,0)+IF(V31&gt;=60,1,0)+IF(W31&gt;=60,1,0)+IF(X31&gt;=60,1,0))&gt;0,(IF(Q31&gt;=60,IF(Q31&gt;=90,-0.25,IF(Q31&gt;=75,-0.15,-0.1)),0)+IF(R31&gt;=60,IF(R31&gt;=90,-0.25,IF(R31&gt;=75,-0.15,-0.1)),0)+IF(S31&gt;=60,IF(S31&gt;=90,-0.25,IF(S31&gt;=75,-0.15,-0.1)),0)+IF(T31&gt;=60,IF(T31&gt;=90,-0.25,IF(T31&gt;=75,-0.15,-0.1)),0)+IF(U31&gt;=60,IF(U31&gt;=90,-0.25,IF(U31&gt;=75,-0.15,-0.1)),0)+IF(V31&gt;=60,IF(V31&gt;=90,-0.25,IF(V31&gt;=75,-0.15,-0.1)),0)+IF(W31&gt;=60,IF(W31&gt;=90,-0.25,IF(W31&gt;=75,-0.15,-0.1)),0)+IF(X31&gt;=60,IF(X31&gt;=90,-0.25,IF(X31&gt;=75,-0.15,-0.1)),0))/(IF(Q31&gt;=60,1,0)+IF(R31&gt;=60,1,0)+IF(S31&gt;=60,1,0)+IF(T31&gt;=60,1,0)+IF(U31&gt;=60,1,0)+IF(V31&gt;=60,1,0)+IF(W31&gt;=60,1,0)+IF(X31&gt;=60,1,0)),0)))</f>
        <v>0</v>
      </c>
      <c r="AB31" s="53">
        <f t="shared" ref="AB31:AB42" si="13">IF(ISBLANK(B31),"",IF(AND(Y31&gt;=3,Z31&gt;=0.75),-0.15,0))</f>
        <v>0</v>
      </c>
      <c r="AC31" s="53">
        <f>AA31+AB31+AJ31</f>
        <v>0</v>
      </c>
      <c r="AE31" t="str">
        <f t="shared" ref="AE31:AE42" si="14">IF(ISBLANK(B31),"",IFERROR(IF(ISNUMBER(AD31),IF(AD31&lt;=1.5,1,IF(AD31&lt;=2.5,2,IF(AD31&lt;=3.5,3,IF(AD31&lt;=4.5,4,5)))),""),""))</f>
        <v/>
      </c>
    </row>
    <row r="32" spans="1:36" ht="14.25" customHeight="1" x14ac:dyDescent="0.35">
      <c r="B32" t="s">
        <v>118</v>
      </c>
      <c r="P32" t="str">
        <f t="shared" si="9"/>
        <v/>
      </c>
      <c r="Y32" s="53">
        <f t="shared" si="10"/>
        <v>0</v>
      </c>
      <c r="Z32" s="54">
        <f t="shared" si="11"/>
        <v>0</v>
      </c>
      <c r="AA32" s="53">
        <f t="shared" si="12"/>
        <v>0</v>
      </c>
      <c r="AB32" s="53">
        <f t="shared" si="13"/>
        <v>0</v>
      </c>
      <c r="AC32" s="53">
        <f>AA32+AB32+AJ32</f>
        <v>0</v>
      </c>
      <c r="AE32" t="str">
        <f t="shared" si="14"/>
        <v/>
      </c>
    </row>
    <row r="33" spans="1:31" ht="14.25" customHeight="1" x14ac:dyDescent="0.35">
      <c r="B33" t="s">
        <v>119</v>
      </c>
      <c r="P33" t="str">
        <f t="shared" si="9"/>
        <v/>
      </c>
      <c r="Y33" s="53">
        <f t="shared" si="10"/>
        <v>0</v>
      </c>
      <c r="Z33" s="54">
        <f t="shared" si="11"/>
        <v>0</v>
      </c>
      <c r="AA33" s="53">
        <f t="shared" si="12"/>
        <v>0</v>
      </c>
      <c r="AB33" s="53">
        <f t="shared" si="13"/>
        <v>0</v>
      </c>
      <c r="AC33" s="53">
        <f>AA33+AB33+AJ33</f>
        <v>0</v>
      </c>
      <c r="AE33" t="str">
        <f t="shared" si="14"/>
        <v/>
      </c>
    </row>
    <row r="34" spans="1:31" ht="14.25" customHeight="1" x14ac:dyDescent="0.35">
      <c r="B34" t="s">
        <v>120</v>
      </c>
      <c r="P34" t="str">
        <f t="shared" si="9"/>
        <v/>
      </c>
      <c r="Y34" s="53">
        <f t="shared" si="10"/>
        <v>0</v>
      </c>
      <c r="Z34" s="54">
        <f t="shared" si="11"/>
        <v>0</v>
      </c>
      <c r="AA34" s="53">
        <f t="shared" si="12"/>
        <v>0</v>
      </c>
      <c r="AB34" s="53">
        <f t="shared" si="13"/>
        <v>0</v>
      </c>
      <c r="AC34" s="53">
        <f>AA34+AB34+AJ34</f>
        <v>0</v>
      </c>
      <c r="AE34" t="str">
        <f t="shared" si="14"/>
        <v/>
      </c>
    </row>
    <row r="35" spans="1:31" ht="14.25" customHeight="1" x14ac:dyDescent="0.35">
      <c r="A35" s="55"/>
      <c r="B35" s="56" t="s">
        <v>121</v>
      </c>
      <c r="P35" t="str">
        <f t="shared" si="9"/>
        <v/>
      </c>
      <c r="Y35" s="53">
        <f t="shared" si="10"/>
        <v>0</v>
      </c>
      <c r="Z35" s="54">
        <f t="shared" si="11"/>
        <v>0</v>
      </c>
      <c r="AA35" s="53">
        <f t="shared" si="12"/>
        <v>0</v>
      </c>
      <c r="AB35" s="53">
        <f t="shared" si="13"/>
        <v>0</v>
      </c>
      <c r="AC35" s="53">
        <f t="shared" ref="AC35:AC42" si="15">IF(ISBLANK(B35),"",IFERROR(AA35+AB35,""))</f>
        <v>0</v>
      </c>
      <c r="AE35" t="str">
        <f t="shared" si="14"/>
        <v/>
      </c>
    </row>
    <row r="36" spans="1:31" ht="14.25" customHeight="1" x14ac:dyDescent="0.35">
      <c r="B36" t="s">
        <v>122</v>
      </c>
      <c r="P36" t="str">
        <f t="shared" si="9"/>
        <v/>
      </c>
      <c r="Y36" s="53">
        <f t="shared" si="10"/>
        <v>0</v>
      </c>
      <c r="Z36" s="54">
        <f t="shared" si="11"/>
        <v>0</v>
      </c>
      <c r="AA36" s="53">
        <f t="shared" si="12"/>
        <v>0</v>
      </c>
      <c r="AB36" s="53">
        <f t="shared" si="13"/>
        <v>0</v>
      </c>
      <c r="AC36" s="53">
        <f t="shared" si="15"/>
        <v>0</v>
      </c>
      <c r="AD36" t="str">
        <f t="shared" ref="AD36:AD42" si="16">IF(ISBLANK(B36),"",IF(AND(ISNUMBER(P36),ISNUMBER(AC36)),P36+AC36,""))</f>
        <v/>
      </c>
      <c r="AE36" t="str">
        <f t="shared" si="14"/>
        <v/>
      </c>
    </row>
    <row r="37" spans="1:31" ht="14.25" customHeight="1" x14ac:dyDescent="0.35">
      <c r="A37" s="57"/>
      <c r="B37" s="58" t="s">
        <v>123</v>
      </c>
      <c r="P37" t="str">
        <f t="shared" si="9"/>
        <v/>
      </c>
      <c r="Y37" s="53">
        <f t="shared" si="10"/>
        <v>0</v>
      </c>
      <c r="Z37" s="54">
        <f t="shared" si="11"/>
        <v>0</v>
      </c>
      <c r="AA37" s="53">
        <f t="shared" si="12"/>
        <v>0</v>
      </c>
      <c r="AB37" s="53">
        <f t="shared" si="13"/>
        <v>0</v>
      </c>
      <c r="AC37" s="53">
        <f t="shared" si="15"/>
        <v>0</v>
      </c>
      <c r="AD37" t="str">
        <f t="shared" si="16"/>
        <v/>
      </c>
      <c r="AE37" t="str">
        <f t="shared" si="14"/>
        <v/>
      </c>
    </row>
    <row r="38" spans="1:31" ht="14.25" customHeight="1" x14ac:dyDescent="0.35">
      <c r="B38" s="58" t="s">
        <v>124</v>
      </c>
      <c r="P38" t="str">
        <f t="shared" si="9"/>
        <v/>
      </c>
      <c r="Y38" s="53">
        <f t="shared" si="10"/>
        <v>0</v>
      </c>
      <c r="Z38" s="54">
        <f t="shared" si="11"/>
        <v>0</v>
      </c>
      <c r="AA38" s="53">
        <f t="shared" si="12"/>
        <v>0</v>
      </c>
      <c r="AB38" s="53">
        <f t="shared" si="13"/>
        <v>0</v>
      </c>
      <c r="AC38" s="53">
        <f t="shared" si="15"/>
        <v>0</v>
      </c>
      <c r="AD38" t="str">
        <f t="shared" si="16"/>
        <v/>
      </c>
      <c r="AE38" t="str">
        <f t="shared" si="14"/>
        <v/>
      </c>
    </row>
    <row r="39" spans="1:31" ht="14.25" customHeight="1" x14ac:dyDescent="0.35">
      <c r="B39" s="58" t="s">
        <v>125</v>
      </c>
      <c r="P39" t="str">
        <f t="shared" si="9"/>
        <v/>
      </c>
      <c r="Y39" s="53">
        <f t="shared" si="10"/>
        <v>0</v>
      </c>
      <c r="Z39" s="54">
        <f t="shared" si="11"/>
        <v>0</v>
      </c>
      <c r="AA39" s="53">
        <f t="shared" si="12"/>
        <v>0</v>
      </c>
      <c r="AB39" s="53">
        <f t="shared" si="13"/>
        <v>0</v>
      </c>
      <c r="AC39" s="53">
        <f t="shared" si="15"/>
        <v>0</v>
      </c>
      <c r="AD39" t="str">
        <f t="shared" si="16"/>
        <v/>
      </c>
      <c r="AE39" t="str">
        <f t="shared" si="14"/>
        <v/>
      </c>
    </row>
    <row r="40" spans="1:31" ht="14.25" customHeight="1" x14ac:dyDescent="0.35">
      <c r="B40" s="58" t="s">
        <v>126</v>
      </c>
      <c r="P40" t="str">
        <f t="shared" si="9"/>
        <v/>
      </c>
      <c r="Y40" s="53">
        <f t="shared" si="10"/>
        <v>0</v>
      </c>
      <c r="Z40" s="54">
        <f t="shared" si="11"/>
        <v>0</v>
      </c>
      <c r="AA40" s="53">
        <f t="shared" si="12"/>
        <v>0</v>
      </c>
      <c r="AB40" s="53">
        <f t="shared" si="13"/>
        <v>0</v>
      </c>
      <c r="AC40" s="53">
        <f t="shared" si="15"/>
        <v>0</v>
      </c>
      <c r="AD40" t="str">
        <f t="shared" si="16"/>
        <v/>
      </c>
      <c r="AE40" t="str">
        <f t="shared" si="14"/>
        <v/>
      </c>
    </row>
    <row r="41" spans="1:31" ht="14.25" customHeight="1" x14ac:dyDescent="0.35">
      <c r="B41" t="s">
        <v>127</v>
      </c>
      <c r="P41" t="str">
        <f t="shared" si="9"/>
        <v/>
      </c>
      <c r="Y41" s="53">
        <f t="shared" si="10"/>
        <v>0</v>
      </c>
      <c r="Z41" s="54">
        <f t="shared" si="11"/>
        <v>0</v>
      </c>
      <c r="AA41" s="53">
        <f t="shared" si="12"/>
        <v>0</v>
      </c>
      <c r="AB41" s="53">
        <f t="shared" si="13"/>
        <v>0</v>
      </c>
      <c r="AC41" s="53">
        <f t="shared" si="15"/>
        <v>0</v>
      </c>
      <c r="AD41" t="str">
        <f t="shared" si="16"/>
        <v/>
      </c>
      <c r="AE41" t="str">
        <f t="shared" si="14"/>
        <v/>
      </c>
    </row>
    <row r="42" spans="1:31" ht="14.25" customHeight="1" x14ac:dyDescent="0.35">
      <c r="B42" s="59" t="s">
        <v>128</v>
      </c>
      <c r="P42" t="str">
        <f t="shared" si="9"/>
        <v/>
      </c>
      <c r="Y42" s="53">
        <f t="shared" si="10"/>
        <v>0</v>
      </c>
      <c r="Z42" s="54">
        <f t="shared" si="11"/>
        <v>0</v>
      </c>
      <c r="AA42" s="53">
        <f t="shared" si="12"/>
        <v>0</v>
      </c>
      <c r="AB42" s="53">
        <f t="shared" si="13"/>
        <v>0</v>
      </c>
      <c r="AC42" s="53">
        <f t="shared" si="15"/>
        <v>0</v>
      </c>
      <c r="AD42" t="str">
        <f t="shared" si="16"/>
        <v/>
      </c>
      <c r="AE42" t="str">
        <f t="shared" si="14"/>
        <v/>
      </c>
    </row>
    <row r="43" spans="1:31" ht="14.25" customHeight="1" x14ac:dyDescent="0.35"/>
    <row r="44" spans="1:31" ht="14.25" customHeight="1" x14ac:dyDescent="0.35">
      <c r="B44" s="60" t="s">
        <v>129</v>
      </c>
    </row>
    <row r="45" spans="1:31" ht="14.25" customHeight="1" x14ac:dyDescent="0.35">
      <c r="B45" s="58" t="s">
        <v>130</v>
      </c>
    </row>
    <row r="46" spans="1:31" x14ac:dyDescent="0.35">
      <c r="B46" t="s">
        <v>131</v>
      </c>
    </row>
    <row r="47" spans="1:31" x14ac:dyDescent="0.35">
      <c r="B47" t="s">
        <v>132</v>
      </c>
    </row>
    <row r="48" spans="1:31" x14ac:dyDescent="0.35">
      <c r="B48" t="s">
        <v>133</v>
      </c>
    </row>
    <row r="49" spans="2:2" x14ac:dyDescent="0.35">
      <c r="B49" t="s">
        <v>134</v>
      </c>
    </row>
    <row r="50" spans="2:2" x14ac:dyDescent="0.35">
      <c r="B50" t="s">
        <v>135</v>
      </c>
    </row>
  </sheetData>
  <conditionalFormatting sqref="C2:N29">
    <cfRule type="containsText" dxfId="1" priority="2" operator="containsText" text="5">
      <formula>NOT(ISERROR(SEARCH("5",C2)))</formula>
    </cfRule>
    <cfRule type="containsText" dxfId="0" priority="3" operator="containsText" text="N">
      <formula>NOT(ISERROR(SEARCH("N",C2)))</formula>
    </cfRule>
  </conditionalFormatting>
  <dataValidations count="1">
    <dataValidation type="custom" allowBlank="1" showInputMessage="1" showErrorMessage="1" errorTitle="Neplatná hodnota" error="Zadej úspěšnost jako číslo 0–100 BEZ znaku % (např. 85)._x000a__x000a_Když napíšeš 85 %, Excel uloží 0,85 a bonus za tento PL se nezapočítá._x000a_Podvod = P." promptTitle="Úspěšnost PL" prompt="Číslo 0–100 bez znaku % (např. 85). Podvod = P." sqref="Q2:X196" xr:uid="{00000000-0002-0000-0000-000000000000}">
      <formula1>OR(ISTEXT(Q2),Q2=0,AND(Q2&gt;=1,Q2&lt;=100))</formula1>
    </dataValidation>
  </dataValidations>
  <hyperlinks>
    <hyperlink ref="AF2" r:id="rId1" xr:uid="{EB02CDB3-AA36-4CAA-8D08-E89429B7FBEE}"/>
  </hyperlinks>
  <pageMargins left="0.75" right="0.75" top="1" bottom="1" header="0.511811023622047" footer="0.511811023622047"/>
  <pageSetup paperSize="9" orientation="portrait" horizontalDpi="300" verticalDpi="30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5KA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Hynek</cp:lastModifiedBy>
  <cp:revision>0</cp:revision>
  <dcterms:created xsi:type="dcterms:W3CDTF">2026-01-11T11:49:59Z</dcterms:created>
  <dcterms:modified xsi:type="dcterms:W3CDTF">2026-09-29T21:13:45Z</dcterms:modified>
  <dc:language>en-US</dc:language>
</cp:coreProperties>
</file>