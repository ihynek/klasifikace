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gymberoun-my.sharepoint.com/personal/hynek_gymberoun_cz/Documents/A_skola_25-26/BIO/CLAUDE/klasifikace/archy/"/>
    </mc:Choice>
  </mc:AlternateContent>
  <xr:revisionPtr revIDLastSave="26" documentId="11_B75CA622968493567F55483E483B9B4A507ABD3B" xr6:coauthVersionLast="47" xr6:coauthVersionMax="47" xr10:uidLastSave="{2E3FD9E5-153E-42B7-AF50-53E19E16DD60}"/>
  <bookViews>
    <workbookView xWindow="-110" yWindow="-110" windowWidth="38620" windowHeight="21820" tabRatio="500" xr2:uid="{00000000-000D-0000-FFFF-FFFF00000000}"/>
  </bookViews>
  <sheets>
    <sheet name="6S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4" i="1" l="1"/>
  <c r="Y34" i="1"/>
  <c r="P34" i="1"/>
  <c r="AJ33" i="1"/>
  <c r="Y33" i="1"/>
  <c r="P33" i="1"/>
  <c r="AJ32" i="1"/>
  <c r="Y32" i="1"/>
  <c r="P32" i="1"/>
  <c r="AJ31" i="1"/>
  <c r="Z31" i="1"/>
  <c r="Y31" i="1"/>
  <c r="P31" i="1"/>
  <c r="AJ30" i="1"/>
  <c r="Y30" i="1"/>
  <c r="P30" i="1"/>
  <c r="AJ29" i="1"/>
  <c r="Y29" i="1"/>
  <c r="P29" i="1"/>
  <c r="AJ28" i="1"/>
  <c r="Y28" i="1"/>
  <c r="P28" i="1"/>
  <c r="AJ27" i="1"/>
  <c r="Y27" i="1"/>
  <c r="P27" i="1"/>
  <c r="AJ26" i="1"/>
  <c r="Y26" i="1"/>
  <c r="P26" i="1"/>
  <c r="AJ25" i="1"/>
  <c r="Y25" i="1"/>
  <c r="P25" i="1"/>
  <c r="AJ24" i="1"/>
  <c r="Y24" i="1"/>
  <c r="P24" i="1"/>
  <c r="AJ23" i="1"/>
  <c r="Y23" i="1"/>
  <c r="P23" i="1"/>
  <c r="AE22" i="1"/>
  <c r="AD22" i="1"/>
  <c r="AC22" i="1"/>
  <c r="AB22" i="1"/>
  <c r="AA22" i="1"/>
  <c r="Z22" i="1"/>
  <c r="Y22" i="1"/>
  <c r="AJ21" i="1"/>
  <c r="Y21" i="1"/>
  <c r="P21" i="1"/>
  <c r="AJ20" i="1"/>
  <c r="Y20" i="1"/>
  <c r="P20" i="1"/>
  <c r="AJ19" i="1"/>
  <c r="Y19" i="1"/>
  <c r="P19" i="1"/>
  <c r="AJ18" i="1"/>
  <c r="Y18" i="1"/>
  <c r="P18" i="1"/>
  <c r="AJ17" i="1"/>
  <c r="Y17" i="1"/>
  <c r="P17" i="1"/>
  <c r="AJ16" i="1"/>
  <c r="Y16" i="1"/>
  <c r="P16" i="1"/>
  <c r="AJ15" i="1"/>
  <c r="Y15" i="1"/>
  <c r="P15" i="1"/>
  <c r="AJ14" i="1"/>
  <c r="Y14" i="1"/>
  <c r="P14" i="1"/>
  <c r="AJ13" i="1"/>
  <c r="Y13" i="1"/>
  <c r="P13" i="1"/>
  <c r="AJ12" i="1"/>
  <c r="Y12" i="1"/>
  <c r="P12" i="1"/>
  <c r="AJ11" i="1"/>
  <c r="Y11" i="1"/>
  <c r="P11" i="1"/>
  <c r="AJ10" i="1"/>
  <c r="AA10" i="1"/>
  <c r="Y10" i="1"/>
  <c r="P10" i="1"/>
  <c r="AJ9" i="1"/>
  <c r="Y9" i="1"/>
  <c r="P9" i="1"/>
  <c r="AJ8" i="1"/>
  <c r="Y8" i="1"/>
  <c r="P8" i="1"/>
  <c r="AJ7" i="1"/>
  <c r="Y7" i="1"/>
  <c r="P7" i="1"/>
  <c r="AJ6" i="1"/>
  <c r="Y6" i="1"/>
  <c r="P6" i="1"/>
  <c r="AJ5" i="1"/>
  <c r="Y5" i="1"/>
  <c r="P5" i="1"/>
  <c r="AJ4" i="1"/>
  <c r="Y4" i="1"/>
  <c r="P4" i="1"/>
  <c r="AJ3" i="1"/>
  <c r="Y3" i="1"/>
  <c r="P3" i="1"/>
  <c r="AJ2" i="1"/>
  <c r="AH2" i="1"/>
  <c r="Y2" i="1"/>
  <c r="P2" i="1"/>
  <c r="P22" i="1" l="1"/>
  <c r="AA34" i="1"/>
  <c r="Z34" i="1"/>
  <c r="AA33" i="1"/>
  <c r="Z33" i="1"/>
  <c r="AA32" i="1"/>
  <c r="AB31" i="1"/>
  <c r="AA31" i="1"/>
  <c r="AA30" i="1"/>
  <c r="Z30" i="1"/>
  <c r="Z32" i="1"/>
  <c r="AA29" i="1"/>
  <c r="Z29" i="1"/>
  <c r="AA28" i="1"/>
  <c r="Z28" i="1"/>
  <c r="AA27" i="1"/>
  <c r="Z27" i="1"/>
  <c r="AA25" i="1"/>
  <c r="Z25" i="1"/>
  <c r="AA24" i="1"/>
  <c r="Z24" i="1"/>
  <c r="AA23" i="1"/>
  <c r="Z23" i="1"/>
  <c r="AA21" i="1"/>
  <c r="Z21" i="1"/>
  <c r="AA20" i="1"/>
  <c r="Z20" i="1"/>
  <c r="AA19" i="1"/>
  <c r="Z19" i="1"/>
  <c r="AA17" i="1"/>
  <c r="Z17" i="1"/>
  <c r="AA16" i="1"/>
  <c r="Z16" i="1"/>
  <c r="AA11" i="1"/>
  <c r="Z10" i="1"/>
  <c r="AB10" i="1" s="1"/>
  <c r="Z2" i="1"/>
  <c r="AA26" i="1"/>
  <c r="Z26" i="1"/>
  <c r="AA18" i="1"/>
  <c r="Z18" i="1"/>
  <c r="AB18" i="1" s="1"/>
  <c r="AA15" i="1"/>
  <c r="Z15" i="1"/>
  <c r="AA14" i="1"/>
  <c r="Z14" i="1"/>
  <c r="AA13" i="1"/>
  <c r="Z13" i="1"/>
  <c r="Z11" i="1"/>
  <c r="AA2" i="1"/>
  <c r="AB32" i="1"/>
  <c r="AA12" i="1"/>
  <c r="Z12" i="1"/>
  <c r="AA9" i="1"/>
  <c r="Z9" i="1"/>
  <c r="AA8" i="1"/>
  <c r="Z8" i="1"/>
  <c r="AA6" i="1"/>
  <c r="Z6" i="1"/>
  <c r="AA5" i="1"/>
  <c r="Z5" i="1"/>
  <c r="AA3" i="1"/>
  <c r="Z3" i="1"/>
  <c r="AA7" i="1"/>
  <c r="Z7" i="1"/>
  <c r="AA4" i="1"/>
  <c r="Z4" i="1"/>
  <c r="AB34" i="1" l="1"/>
  <c r="AC34" i="1" s="1"/>
  <c r="AD34" i="1" s="1"/>
  <c r="AE34" i="1" s="1"/>
  <c r="AB33" i="1"/>
  <c r="AC33" i="1" s="1"/>
  <c r="AD33" i="1" s="1"/>
  <c r="AE33" i="1" s="1"/>
  <c r="AC32" i="1"/>
  <c r="AD32" i="1" s="1"/>
  <c r="AE32" i="1" s="1"/>
  <c r="AB16" i="1"/>
  <c r="AC16" i="1" s="1"/>
  <c r="AD16" i="1" s="1"/>
  <c r="AE16" i="1" s="1"/>
  <c r="AB14" i="1"/>
  <c r="AC14" i="1" s="1"/>
  <c r="AB13" i="1"/>
  <c r="AC13" i="1" s="1"/>
  <c r="AC10" i="1"/>
  <c r="AD10" i="1" s="1"/>
  <c r="AE10" i="1" s="1"/>
  <c r="AB26" i="1"/>
  <c r="AC26" i="1" s="1"/>
  <c r="AD26" i="1" s="1"/>
  <c r="AE26" i="1" s="1"/>
  <c r="AC18" i="1"/>
  <c r="AD18" i="1" s="1"/>
  <c r="AE18" i="1" s="1"/>
  <c r="AB12" i="1"/>
  <c r="AC12" i="1" s="1"/>
  <c r="AD12" i="1" s="1"/>
  <c r="AE12" i="1" s="1"/>
  <c r="AB9" i="1"/>
  <c r="AC9" i="1" s="1"/>
  <c r="AD9" i="1" s="1"/>
  <c r="AE9" i="1" s="1"/>
  <c r="AB8" i="1"/>
  <c r="AC8" i="1" s="1"/>
  <c r="AD8" i="1" s="1"/>
  <c r="AE8" i="1" s="1"/>
  <c r="AB7" i="1"/>
  <c r="AC7" i="1" s="1"/>
  <c r="AD7" i="1" s="1"/>
  <c r="AE7" i="1" s="1"/>
  <c r="AB6" i="1"/>
  <c r="AC6" i="1" s="1"/>
  <c r="AD6" i="1" s="1"/>
  <c r="AE6" i="1" s="1"/>
  <c r="AB5" i="1"/>
  <c r="AC5" i="1" s="1"/>
  <c r="AD5" i="1" s="1"/>
  <c r="AE5" i="1" s="1"/>
  <c r="AB3" i="1"/>
  <c r="AC3" i="1" s="1"/>
  <c r="AD3" i="1" s="1"/>
  <c r="AE3" i="1" s="1"/>
  <c r="AB4" i="1"/>
  <c r="AC4" i="1" s="1"/>
  <c r="AD4" i="1" s="1"/>
  <c r="AE4" i="1" s="1"/>
  <c r="AC31" i="1"/>
  <c r="AD31" i="1" s="1"/>
  <c r="AE31" i="1" s="1"/>
  <c r="AB29" i="1"/>
  <c r="AC29" i="1" s="1"/>
  <c r="AD29" i="1" s="1"/>
  <c r="AE29" i="1" s="1"/>
  <c r="AB28" i="1"/>
  <c r="AC28" i="1" s="1"/>
  <c r="AD28" i="1" s="1"/>
  <c r="AE28" i="1" s="1"/>
  <c r="AB27" i="1"/>
  <c r="AC27" i="1" s="1"/>
  <c r="AD27" i="1" s="1"/>
  <c r="AE27" i="1" s="1"/>
  <c r="AB24" i="1"/>
  <c r="AC24" i="1" s="1"/>
  <c r="AD24" i="1" s="1"/>
  <c r="AE24" i="1" s="1"/>
  <c r="AB23" i="1"/>
  <c r="AC23" i="1" s="1"/>
  <c r="AD23" i="1" s="1"/>
  <c r="AE23" i="1" s="1"/>
  <c r="AB21" i="1"/>
  <c r="AC21" i="1" s="1"/>
  <c r="AD21" i="1" s="1"/>
  <c r="AE21" i="1" s="1"/>
  <c r="AB20" i="1"/>
  <c r="AC20" i="1" s="1"/>
  <c r="AD20" i="1" s="1"/>
  <c r="AE20" i="1" s="1"/>
  <c r="AB11" i="1"/>
  <c r="AC11" i="1" s="1"/>
  <c r="AD11" i="1" s="1"/>
  <c r="AE11" i="1" s="1"/>
  <c r="AB30" i="1"/>
  <c r="AC30" i="1" s="1"/>
  <c r="AD30" i="1" s="1"/>
  <c r="AE30" i="1" s="1"/>
  <c r="AB25" i="1"/>
  <c r="AC25" i="1" s="1"/>
  <c r="AD25" i="1" s="1"/>
  <c r="AE25" i="1" s="1"/>
  <c r="AB19" i="1"/>
  <c r="AC19" i="1" s="1"/>
  <c r="AD19" i="1" s="1"/>
  <c r="AE19" i="1" s="1"/>
  <c r="AB17" i="1"/>
  <c r="AC17" i="1" s="1"/>
  <c r="AD17" i="1" s="1"/>
  <c r="AE17" i="1" s="1"/>
  <c r="AB2" i="1"/>
  <c r="AC2" i="1" s="1"/>
  <c r="AD2" i="1" s="1"/>
  <c r="AE2" i="1" s="1"/>
  <c r="AB15" i="1"/>
  <c r="AC15" i="1" s="1"/>
  <c r="AD15" i="1" s="1"/>
  <c r="AE15" i="1" s="1"/>
  <c r="AD13" i="1" l="1"/>
  <c r="AE13" i="1" s="1"/>
  <c r="AD14" i="1"/>
  <c r="AE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Ivan H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Ivan H:
měkkýši_24.2.2026</t>
        </r>
      </text>
    </comment>
    <comment ref="D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Ivan H:
kroužkovci</t>
        </r>
      </text>
    </comment>
    <comment ref="E1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Ivan Hynek:
členovci 1, 7.4.2026</t>
        </r>
      </text>
    </comment>
    <comment ref="F1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Ivan H:
členovci 2</t>
        </r>
      </text>
    </comment>
    <comment ref="I1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Ivan H:
Měkkýši
17.2.2026</t>
        </r>
      </text>
    </comment>
    <comment ref="J1" authorId="0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 xml:space="preserve">Ivan Hynek:
kroužkovci 12.3.
</t>
        </r>
      </text>
    </comment>
    <comment ref="K1" authorId="0" shapeId="0" xr:uid="{00000000-0006-0000-0000-000007000000}">
      <text>
        <r>
          <rPr>
            <sz val="11"/>
            <color theme="1"/>
            <rFont val="Calibri"/>
            <family val="2"/>
            <charset val="1"/>
          </rPr>
          <t>Ivan Hynek:
ostnokožci
28.5.2026</t>
        </r>
      </text>
    </comment>
    <comment ref="L1" authorId="1" shapeId="0" xr:uid="{CBB89CD2-6CC9-4663-9F31-F4C222C68AAB}">
      <text>
        <r>
          <rPr>
            <b/>
            <sz val="9"/>
            <color indexed="81"/>
            <rFont val="Tahoma"/>
            <charset val="1"/>
          </rPr>
          <t>Ivan H:</t>
        </r>
        <r>
          <rPr>
            <sz val="9"/>
            <color indexed="81"/>
            <rFont val="Tahoma"/>
            <charset val="1"/>
          </rPr>
          <t xml:space="preserve">
nitorovaci test - vaha2
</t>
        </r>
      </text>
    </comment>
    <comment ref="R1" authorId="0" shapeId="0" xr:uid="{00000000-0006-0000-0000-000008000000}">
      <text>
        <r>
          <rPr>
            <sz val="11"/>
            <color theme="1"/>
            <rFont val="Calibri"/>
            <family val="2"/>
            <charset val="1"/>
          </rPr>
          <t xml:space="preserve">Ivan H:
kroužkovci
</t>
        </r>
      </text>
    </comment>
    <comment ref="S1" authorId="0" shapeId="0" xr:uid="{00000000-0006-0000-0000-000009000000}">
      <text>
        <r>
          <rPr>
            <sz val="11"/>
            <color theme="1"/>
            <rFont val="Calibri"/>
            <family val="2"/>
            <charset val="1"/>
          </rPr>
          <t>Ivan H:
členovci</t>
        </r>
      </text>
    </comment>
    <comment ref="T1" authorId="0" shapeId="0" xr:uid="{00000000-0006-0000-0000-00000A000000}">
      <text>
        <r>
          <rPr>
            <sz val="11"/>
            <color theme="1"/>
            <rFont val="Calibri"/>
            <family val="2"/>
            <charset val="1"/>
          </rPr>
          <t xml:space="preserve">Ivan H:
členovci -_poznavacka
</t>
        </r>
      </text>
    </comment>
    <comment ref="U1" authorId="0" shapeId="0" xr:uid="{00000000-0006-0000-0000-00000B000000}">
      <text>
        <r>
          <rPr>
            <sz val="11"/>
            <color theme="1"/>
            <rFont val="Calibri"/>
            <family val="2"/>
            <charset val="1"/>
          </rPr>
          <t>Ivan H:
hmyz_poznavacka</t>
        </r>
      </text>
    </comment>
    <comment ref="Q2" authorId="0" shapeId="0" xr:uid="{00000000-0006-0000-0000-00000C000000}">
      <text>
        <r>
          <rPr>
            <sz val="11"/>
            <color theme="1"/>
            <rFont val="Calibri"/>
            <family val="2"/>
            <charset val="1"/>
          </rPr>
          <t xml:space="preserve">Ivan H:
hlísti
</t>
        </r>
      </text>
    </comment>
    <comment ref="J15" authorId="0" shapeId="0" xr:uid="{00000000-0006-0000-0000-00000D000000}">
      <text>
        <r>
          <rPr>
            <sz val="11"/>
            <color theme="1"/>
            <rFont val="Calibri"/>
            <family val="2"/>
            <charset val="1"/>
          </rPr>
          <t>Ivan Hynek:
psal - neodevzdal</t>
        </r>
      </text>
    </comment>
    <comment ref="J20" authorId="0" shapeId="0" xr:uid="{00000000-0006-0000-0000-00000E000000}">
      <text>
        <r>
          <rPr>
            <sz val="11"/>
            <color theme="1"/>
            <rFont val="Calibri"/>
            <family val="2"/>
            <charset val="1"/>
          </rPr>
          <t>Ivan Hynek:
neodevzdala</t>
        </r>
      </text>
    </comment>
  </commentList>
</comments>
</file>

<file path=xl/sharedStrings.xml><?xml version="1.0" encoding="utf-8"?>
<sst xmlns="http://schemas.openxmlformats.org/spreadsheetml/2006/main" count="137" uniqueCount="112">
  <si>
    <t>Poř. č.</t>
  </si>
  <si>
    <t>Jméno Příjmení</t>
  </si>
  <si>
    <t>VT1</t>
  </si>
  <si>
    <t>VT2</t>
  </si>
  <si>
    <t>VT3</t>
  </si>
  <si>
    <t>VT4</t>
  </si>
  <si>
    <t>VT5</t>
  </si>
  <si>
    <t xml:space="preserve">VT6
</t>
  </si>
  <si>
    <t>MT1</t>
  </si>
  <si>
    <t>MT2</t>
  </si>
  <si>
    <t>MT3</t>
  </si>
  <si>
    <t>MT4</t>
  </si>
  <si>
    <t>MT5</t>
  </si>
  <si>
    <t xml:space="preserve">MT6
</t>
  </si>
  <si>
    <t>LP</t>
  </si>
  <si>
    <t>Vážený
průměr</t>
  </si>
  <si>
    <t>PL1
(%)</t>
  </si>
  <si>
    <t>PL2
(%)</t>
  </si>
  <si>
    <t>PL3
(%)</t>
  </si>
  <si>
    <t>PL4
(%)</t>
  </si>
  <si>
    <t>PL5
(%)</t>
  </si>
  <si>
    <t>PL6
(%)</t>
  </si>
  <si>
    <t>PL7
(%)</t>
  </si>
  <si>
    <t>PL8
(%)</t>
  </si>
  <si>
    <t>Počet
PL</t>
  </si>
  <si>
    <t>%
PL</t>
  </si>
  <si>
    <t>Průměr
bonusů</t>
  </si>
  <si>
    <t>Bonus
75%+</t>
  </si>
  <si>
    <t>Celkový
bonus</t>
  </si>
  <si>
    <t>Finální
průměr</t>
  </si>
  <si>
    <t>ZNÁMKA</t>
  </si>
  <si>
    <t>Email</t>
  </si>
  <si>
    <t>KODY</t>
  </si>
  <si>
    <t>Zadaných
PL</t>
  </si>
  <si>
    <t>PODVOD
(zadej slovem)</t>
  </si>
  <si>
    <t>Podvod
(nálepka)</t>
  </si>
  <si>
    <t>Ivana Denková</t>
  </si>
  <si>
    <t>N</t>
  </si>
  <si>
    <t>1747</t>
  </si>
  <si>
    <t>Jakub Dolejš</t>
  </si>
  <si>
    <t>jakub_dolejs@student.gymberoun.cz</t>
  </si>
  <si>
    <t>4333</t>
  </si>
  <si>
    <t>Kryštof Doležal</t>
  </si>
  <si>
    <t>krystof_dolezal@student.gymberoun.cz</t>
  </si>
  <si>
    <t>1497</t>
  </si>
  <si>
    <t>Barbora Gezová</t>
  </si>
  <si>
    <t>barbora_gezova@student.gymberoun.cz</t>
  </si>
  <si>
    <t>3340</t>
  </si>
  <si>
    <t>Jiří Gregůrek</t>
  </si>
  <si>
    <t>jiri_gregurek@student.gymberoun.cz</t>
  </si>
  <si>
    <t>5369</t>
  </si>
  <si>
    <t>Zuzana Hamerníková</t>
  </si>
  <si>
    <t>zuzana_hamernikova@student.gymberoun.cz</t>
  </si>
  <si>
    <t>1187</t>
  </si>
  <si>
    <t>Jiří Hejna</t>
  </si>
  <si>
    <t>jiri_hejna@student.gymberoun.cz</t>
  </si>
  <si>
    <t>8208</t>
  </si>
  <si>
    <t>Štěpán Káš</t>
  </si>
  <si>
    <t>stepan_kas@student.gymberoun.cz</t>
  </si>
  <si>
    <t>3739</t>
  </si>
  <si>
    <t>Anna Kollerová</t>
  </si>
  <si>
    <t>anna_kollerova@student.gymberoun.cz</t>
  </si>
  <si>
    <t>1265</t>
  </si>
  <si>
    <t>Beata Kubalová</t>
  </si>
  <si>
    <t>beata_kubalova@student.gymberoun.cz</t>
  </si>
  <si>
    <t>8186</t>
  </si>
  <si>
    <t>Jolana Kubrychtová</t>
  </si>
  <si>
    <t>jolana_kubrychtova@student.gymberoun.cz</t>
  </si>
  <si>
    <t>5556</t>
  </si>
  <si>
    <t>Aleš Mátl</t>
  </si>
  <si>
    <t>ales_matl@student.gymberoun.cz</t>
  </si>
  <si>
    <t>8199</t>
  </si>
  <si>
    <t>Emma Mulačová</t>
  </si>
  <si>
    <t>emma_mulacova@student.gymberoun.cz</t>
  </si>
  <si>
    <t>8533</t>
  </si>
  <si>
    <t>Teodor Rada</t>
  </si>
  <si>
    <t>teodor_rada@student.gymberoun.cz</t>
  </si>
  <si>
    <t>4798</t>
  </si>
  <si>
    <t>Stella Roztočilová</t>
  </si>
  <si>
    <t>stella_roztocilova@student.gymberoun.cz</t>
  </si>
  <si>
    <t>4159</t>
  </si>
  <si>
    <t>Kristýna Růžičková</t>
  </si>
  <si>
    <t>kristyna_ruzickova@student.gymberoun.cz</t>
  </si>
  <si>
    <t>2983</t>
  </si>
  <si>
    <t>Petr Slimáček</t>
  </si>
  <si>
    <t>petr_slimacek@student.gymberoun.cz</t>
  </si>
  <si>
    <t>5915</t>
  </si>
  <si>
    <t>Ladislav Ťoupalík</t>
  </si>
  <si>
    <t>ladislav_toupalik@student.gymberoun.cz</t>
  </si>
  <si>
    <t>7345</t>
  </si>
  <si>
    <t>Veronika Velebová</t>
  </si>
  <si>
    <t>veronika_velebova@student.gymberoun.cz</t>
  </si>
  <si>
    <t>6749</t>
  </si>
  <si>
    <t>Kryštof Žolko</t>
  </si>
  <si>
    <t>krystof_zolko@student.gymberoun.cz</t>
  </si>
  <si>
    <t>2653</t>
  </si>
  <si>
    <t>LEGENDA A PRAVIDLA:</t>
  </si>
  <si>
    <t>Pokud student neudělal žádné PL:</t>
  </si>
  <si>
    <t>• Celkový bonus = 0</t>
  </si>
  <si>
    <t>• Finální průměr = Vážený průměr (bez bonusů)</t>
  </si>
  <si>
    <t>• Známka se normálně vypočítá</t>
  </si>
  <si>
    <t>Bonusy z praktických listů (hodnotí se jen aktuálně zadané PL):</t>
  </si>
  <si>
    <t>• 90-100%: -0.25</t>
  </si>
  <si>
    <t>• 75-89%: -0.15</t>
  </si>
  <si>
    <t>• 60-74%: -0.1</t>
  </si>
  <si>
    <t>• Výsledky 0 % se nepočítají jako odevzdaná práce</t>
  </si>
  <si>
    <t>Bonus za konzistenci (platí od 3. odevzdané práce):</t>
  </si>
  <si>
    <t>• Odevzdáš ≥75 % zadaných PL → extra -0.15</t>
  </si>
  <si>
    <t>• Do PL buňky napiš "P" = podvod → zobrazuje se jako nálepka, bez dopadu na průměr (do příštího roku)</t>
  </si>
  <si>
    <t>• Příklad: 2× P = -0.4, 3× P = -0.6, 4× P = -0.8, 5× P = -1.0</t>
  </si>
  <si>
    <t>• P se počítá jako odevzdaná práce (vstupuje do jmenovatele konzistenčního bonusu)</t>
  </si>
  <si>
    <t>• P nedává žádný bonus (0 % = žádný příspěvek k průměru bonusů)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</si>
</sst>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  <charset val="238"/>
    </font>
    <font>
      <b/>
      <sz val="10"/>
      <color rgb="FF000000"/>
      <name val="Calibri"/>
      <family val="2"/>
      <charset val="238"/>
    </font>
    <font>
      <b/>
      <sz val="9"/>
      <name val="Calibri"/>
      <family val="2"/>
      <charset val="238"/>
    </font>
    <font>
      <b/>
      <sz val="9"/>
      <color rgb="FFFFFFFF"/>
      <name val="Calibri"/>
      <family val="2"/>
      <charset val="238"/>
    </font>
    <font>
      <b/>
      <sz val="11"/>
      <color rgb="FFFFFFFF"/>
      <name val="Calibri"/>
      <family val="2"/>
      <charset val="238"/>
    </font>
    <font>
      <b/>
      <sz val="14"/>
      <color rgb="FF9C5700"/>
      <name val="Calibri"/>
      <family val="2"/>
      <charset val="238"/>
    </font>
    <font>
      <b/>
      <sz val="11"/>
      <color theme="1"/>
      <name val="Calibri"/>
      <family val="2"/>
      <charset val="238"/>
    </font>
    <font>
      <b/>
      <sz val="10"/>
      <name val="Arial"/>
      <charset val="1"/>
    </font>
    <font>
      <b/>
      <sz val="10"/>
      <color rgb="FFFFFFFF"/>
      <name val="Cambria"/>
      <charset val="1"/>
    </font>
    <font>
      <b/>
      <sz val="11"/>
      <name val="Calibri"/>
      <family val="2"/>
      <charset val="238"/>
    </font>
    <font>
      <b/>
      <sz val="11"/>
      <color rgb="FF0070C0"/>
      <name val="Calibri"/>
      <family val="2"/>
      <charset val="238"/>
    </font>
    <font>
      <b/>
      <sz val="11"/>
      <color rgb="FF00B050"/>
      <name val="Calibri"/>
      <family val="2"/>
      <charset val="238"/>
    </font>
    <font>
      <b/>
      <sz val="10"/>
      <name val="Calibri"/>
      <family val="2"/>
      <charset val="238"/>
    </font>
    <font>
      <b/>
      <sz val="14"/>
      <name val="Calibri"/>
      <family val="2"/>
      <charset val="238"/>
    </font>
    <font>
      <b/>
      <sz val="14"/>
      <color rgb="FFFF0000"/>
      <name val="Calibri"/>
      <family val="2"/>
      <charset val="238"/>
    </font>
    <font>
      <b/>
      <sz val="11"/>
      <name val="Arial"/>
      <charset val="1"/>
    </font>
    <font>
      <sz val="7"/>
      <color rgb="FF3C4043"/>
      <name val="Arial"/>
      <family val="2"/>
      <charset val="238"/>
    </font>
    <font>
      <b/>
      <sz val="12"/>
      <color rgb="FF4472C4"/>
      <name val="Calibri"/>
      <family val="2"/>
      <charset val="238"/>
    </font>
    <font>
      <sz val="11"/>
      <color theme="0"/>
      <name val="Calibri"/>
      <family val="2"/>
      <charset val="1"/>
    </font>
    <font>
      <sz val="11"/>
      <color rgb="FF00B050"/>
      <name val="Calibri"/>
      <family val="2"/>
      <charset val="238"/>
    </font>
    <font>
      <sz val="11"/>
      <color rgb="FF006100"/>
      <name val="Calibri"/>
      <family val="2"/>
      <charset val="238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C65911"/>
        <bgColor rgb="FF9C57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969696"/>
      </patternFill>
    </fill>
    <fill>
      <patternFill patternType="solid">
        <fgColor rgb="FFB4C7E7"/>
        <bgColor rgb="FF9BC2E6"/>
      </patternFill>
    </fill>
    <fill>
      <patternFill patternType="solid">
        <fgColor rgb="FF9BC2E6"/>
        <bgColor rgb="FFB4C7E7"/>
      </patternFill>
    </fill>
    <fill>
      <patternFill patternType="solid">
        <fgColor rgb="FF00B05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EB9C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8" fillId="11" borderId="0" xfId="0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7" fillId="0" borderId="1" xfId="0" applyFont="1" applyBorder="1"/>
    <xf numFmtId="2" fontId="10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9" fontId="3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0" fillId="0" borderId="2" xfId="0" applyBorder="1"/>
    <xf numFmtId="0" fontId="15" fillId="13" borderId="1" xfId="0" applyFont="1" applyFill="1" applyBorder="1" applyAlignment="1">
      <alignment horizontal="center"/>
    </xf>
    <xf numFmtId="0" fontId="16" fillId="1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3" xfId="0" applyFont="1" applyBorder="1"/>
    <xf numFmtId="9" fontId="0" fillId="0" borderId="0" xfId="0" applyNumberFormat="1"/>
    <xf numFmtId="0" fontId="17" fillId="0" borderId="0" xfId="0" applyFont="1" applyAlignment="1">
      <alignment vertical="center" wrapText="1"/>
    </xf>
    <xf numFmtId="0" fontId="18" fillId="0" borderId="0" xfId="0" applyFont="1" applyAlignment="1">
      <alignment horizontal="center"/>
    </xf>
    <xf numFmtId="0" fontId="18" fillId="0" borderId="0" xfId="0" applyFont="1"/>
    <xf numFmtId="0" fontId="19" fillId="0" borderId="0" xfId="0" applyFont="1"/>
    <xf numFmtId="9" fontId="19" fillId="0" borderId="0" xfId="0" applyNumberFormat="1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20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horizontal="center"/>
    </xf>
    <xf numFmtId="0" fontId="21" fillId="0" borderId="0" xfId="0" applyFont="1"/>
    <xf numFmtId="0" fontId="12" fillId="0" borderId="0" xfId="0" applyFont="1"/>
    <xf numFmtId="0" fontId="24" fillId="0" borderId="1" xfId="0" applyFont="1" applyBorder="1" applyAlignment="1">
      <alignment horizontal="center"/>
    </xf>
  </cellXfs>
  <cellStyles count="1">
    <cellStyle name="Normální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theme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CCFFFF"/>
      <rgbColor rgb="FFE2EFDA"/>
      <rgbColor rgb="FFFFEB9C"/>
      <rgbColor rgb="FF9BC2E6"/>
      <rgbColor rgb="FFFF99CC"/>
      <rgbColor rgb="FFCC99FF"/>
      <rgbColor rgb="FFFFC7CE"/>
      <rgbColor rgb="FF4472C4"/>
      <rgbColor rgb="FF33CCCC"/>
      <rgbColor rgb="FF92D050"/>
      <rgbColor rgb="FFFFC000"/>
      <rgbColor rgb="FFFF9900"/>
      <rgbColor rgb="FFC65911"/>
      <rgbColor rgb="FF666699"/>
      <rgbColor rgb="FF969696"/>
      <rgbColor rgb="FF003366"/>
      <rgbColor rgb="FF00B050"/>
      <rgbColor rgb="FF003300"/>
      <rgbColor rgb="FF333300"/>
      <rgbColor rgb="FF9C5700"/>
      <rgbColor rgb="FF993366"/>
      <rgbColor rgb="FF333399"/>
      <rgbColor rgb="FF3C40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kristyna_ruzickova@student.gymberoun.c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5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S32" sqref="S32"/>
    </sheetView>
  </sheetViews>
  <sheetFormatPr defaultColWidth="8.54296875" defaultRowHeight="14.5" x14ac:dyDescent="0.35"/>
  <cols>
    <col min="1" max="1" width="5.54296875" customWidth="1"/>
    <col min="2" max="2" width="19" customWidth="1"/>
    <col min="3" max="7" width="3.7265625" customWidth="1"/>
    <col min="8" max="8" width="4.54296875" customWidth="1"/>
    <col min="9" max="13" width="4.08984375" customWidth="1"/>
    <col min="14" max="14" width="5.08984375" customWidth="1"/>
    <col min="15" max="15" width="4.81640625" customWidth="1"/>
    <col min="17" max="19" width="3.26953125" customWidth="1"/>
    <col min="20" max="20" width="3.81640625" customWidth="1"/>
    <col min="21" max="24" width="3.26953125" customWidth="1"/>
    <col min="25" max="25" width="4.7265625" customWidth="1"/>
    <col min="26" max="26" width="5.54296875" customWidth="1"/>
    <col min="27" max="27" width="6" customWidth="1"/>
    <col min="28" max="28" width="5.08984375" customWidth="1"/>
    <col min="29" max="29" width="6.26953125" customWidth="1"/>
    <col min="30" max="30" width="6.453125" customWidth="1"/>
    <col min="31" max="31" width="8.1796875" customWidth="1"/>
    <col min="32" max="32" width="39.453125" customWidth="1"/>
    <col min="33" max="33" width="10.26953125" hidden="1" customWidth="1"/>
    <col min="34" max="34" width="11.54296875" hidden="1" customWidth="1"/>
  </cols>
  <sheetData>
    <row r="1" spans="1:36" ht="25.5" customHeight="1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5" t="s">
        <v>13</v>
      </c>
      <c r="O1" s="6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7" t="s">
        <v>24</v>
      </c>
      <c r="Z1" s="7" t="s">
        <v>25</v>
      </c>
      <c r="AA1" s="7" t="s">
        <v>26</v>
      </c>
      <c r="AB1" s="9" t="s">
        <v>27</v>
      </c>
      <c r="AC1" s="7" t="s">
        <v>28</v>
      </c>
      <c r="AD1" s="10" t="s">
        <v>29</v>
      </c>
      <c r="AE1" s="11" t="s">
        <v>30</v>
      </c>
      <c r="AF1" s="12" t="s">
        <v>31</v>
      </c>
      <c r="AG1" s="13" t="s">
        <v>32</v>
      </c>
      <c r="AH1" s="14" t="s">
        <v>33</v>
      </c>
      <c r="AI1" s="15" t="s">
        <v>34</v>
      </c>
      <c r="AJ1" s="15" t="s">
        <v>35</v>
      </c>
    </row>
    <row r="2" spans="1:36" ht="18" customHeight="1" x14ac:dyDescent="0.45">
      <c r="A2" s="16">
        <v>1</v>
      </c>
      <c r="B2" s="17" t="s">
        <v>36</v>
      </c>
      <c r="C2" s="16">
        <v>1</v>
      </c>
      <c r="D2" s="16">
        <v>1</v>
      </c>
      <c r="E2" s="16" t="s">
        <v>37</v>
      </c>
      <c r="F2" s="16">
        <v>2</v>
      </c>
      <c r="G2" s="16"/>
      <c r="H2" s="16"/>
      <c r="I2" s="16">
        <v>2</v>
      </c>
      <c r="J2" s="16" t="s">
        <v>37</v>
      </c>
      <c r="K2" s="16">
        <v>2</v>
      </c>
      <c r="L2" s="16">
        <v>1</v>
      </c>
      <c r="M2" s="16"/>
      <c r="N2" s="16"/>
      <c r="O2" s="16">
        <v>1</v>
      </c>
      <c r="P2" s="18">
        <f t="shared" ref="P2:P21" si="0">IFERROR((IF(ISNUMBER(C2),C2*3,0)+IF(ISNUMBER(D2),D2*3,0)+IF(ISNUMBER(E2),E2*3,0)+IF(ISNUMBER(F2),F2*3,0)+IF(ISNUMBER(G2),G2*3,0)+IF(ISNUMBER(H2),H2*3,0)+IF(ISNUMBER(I2),I2*2,0)+IF(ISNUMBER(J2),J2*2,0)+IF(ISNUMBER(K2),K2*2,0)+IF(ISNUMBER(L2),L2*2,0)+IF(ISNUMBER(M2),M2*2,0)+IF(ISNUMBER(N2),N2*2,0)+IF(ISNUMBER(O2),O2*1,0))/(IF(ISNUMBER(C2),3,0)+IF(ISNUMBER(D2),3,0)+IF(ISNUMBER(E2),3,0)+IF(ISNUMBER(F2),3,0)+IF(ISNUMBER(G2),3,0)+IF(ISNUMBER(H2),3,0)+IF(ISNUMBER(I2),2,0)+IF(ISNUMBER(J2),2,0)+IF(ISNUMBER(K2),2,0)+IF(ISNUMBER(L2),2,0)+IF(ISNUMBER(M2),2,0)+IF(ISNUMBER(N2),2,0)+IF(ISNUMBER(O2),1,0)),"")</f>
        <v>1.4375</v>
      </c>
      <c r="Q2" s="19"/>
      <c r="R2" s="19"/>
      <c r="S2" s="19">
        <v>92</v>
      </c>
      <c r="T2" s="19"/>
      <c r="U2" s="19"/>
      <c r="V2" s="19"/>
      <c r="W2" s="19"/>
      <c r="X2" s="19"/>
      <c r="Y2" s="20">
        <f t="shared" ref="Y2:Y21" si="1">IF(ISBLANK(B2),"",COUNTIF(Q2:X2,"&gt;0")+IF(UPPER(AI2)="PODVOD",1,IF(ISNUMBER(AI2),AI2,0)))</f>
        <v>1</v>
      </c>
      <c r="Z2" s="21">
        <f t="shared" ref="Z2:Z21" si="2">IF(ISBLANK(B2),"",IF(Y2=0,0,Y2/$AH$2))</f>
        <v>0.25</v>
      </c>
      <c r="AA2" s="22">
        <f t="shared" ref="AA2:AA21" si="3">IF(ISBLANK(B2),"",IF(Y2&lt;3,0,IF((IF(ISNUMBER(Q2),IF(Q2&gt;=60,1,0),0)+IF(ISNUMBER(R2),IF(R2&gt;=60,1,0),0)+IF(ISNUMBER(S2),IF(S2&gt;=60,1,0),0)+IF(ISNUMBER(T2),IF(T2&gt;=60,1,0),0)+IF(ISNUMBER(U2),IF(U2&gt;=60,1,0),0)+IF(ISNUMBER(V2),IF(V2&gt;=60,1,0),0)+IF(ISNUMBER(W2),IF(W2&gt;=60,1,0),0)+IF(ISNUMBER(X2),IF(X2&gt;=60,1,0),0))&gt;0,(IF(ISNUMBER(Q2),IF(Q2&gt;=90,-0.25,IF(Q2&gt;=75,-0.15,-0.1)),0)+IF(ISNUMBER(R2),IF(R2&gt;=90,-0.25,IF(R2&gt;=75,-0.15,-0.1)),0)+IF(ISNUMBER(S2),IF(S2&gt;=90,-0.25,IF(S2&gt;=75,-0.15,-0.1)),0)+IF(ISNUMBER(T2),IF(T2&gt;=90,-0.25,IF(T2&gt;=75,-0.15,-0.1)),0)+IF(ISNUMBER(U2),IF(U2&gt;=90,-0.25,IF(U2&gt;=75,-0.15,-0.1)),0)+IF(ISNUMBER(V2),IF(V2&gt;=90,-0.25,IF(V2&gt;=75,-0.15,-0.1)),0)+IF(ISNUMBER(W2),IF(W2&gt;=90,-0.25,IF(W2&gt;=75,-0.15,-0.1)),0)+IF(ISNUMBER(X2),IF(X2&gt;=90,-0.25,IF(X2&gt;=75,-0.15,-0.1)),0))/(IF(ISNUMBER(Q2),IF(Q2&gt;=60,1,0),0)+IF(ISNUMBER(R2),IF(R2&gt;=60,1,0),0)+IF(ISNUMBER(S2),IF(S2&gt;=60,1,0),0)+IF(ISNUMBER(T2),IF(T2&gt;=60,1,0),0)+IF(ISNUMBER(U2),IF(U2&gt;=60,1,0),0)+IF(ISNUMBER(V2),IF(V2&gt;=60,1,0),0)+IF(ISNUMBER(W2),IF(W2&gt;=60,1,0),0)+IF(ISNUMBER(X2),IF(X2&gt;=60,1,0),0)),0)))</f>
        <v>0</v>
      </c>
      <c r="AB2" s="23">
        <f t="shared" ref="AB2:AB21" si="4">IF(ISBLANK(B2),"",IF(AND(Y2&gt;=3,Z2&gt;=0.75),-0.15,0))</f>
        <v>0</v>
      </c>
      <c r="AC2" s="24">
        <f t="shared" ref="AC2:AC21" si="5">AA2+AB2+AJ2</f>
        <v>0</v>
      </c>
      <c r="AD2" s="22">
        <f t="shared" ref="AD2:AD21" si="6">P2+AC2</f>
        <v>1.4375</v>
      </c>
      <c r="AE2" s="25">
        <f t="shared" ref="AE2:AE21" si="7">IF(ISBLANK(B2),"",IFERROR(IF(ISNUMBER(AD2),IF(AD2&lt;=1.5,1,IF(AD2&lt;=2.5,2,IF(AD2&lt;=3.5,3,IF(AD2&lt;=4.5,4,5)))),""),""))</f>
        <v>1</v>
      </c>
      <c r="AF2" s="26"/>
      <c r="AG2" s="27" t="s">
        <v>38</v>
      </c>
      <c r="AH2" s="28">
        <f>(COUNT(Q2:Q200)&gt;0)+(COUNT(R2:R200)&gt;0)+(COUNT(S2:S200)&gt;0)+(COUNT(T2:T200)&gt;0)+(COUNT(U2:U200)&gt;0)+(COUNT(V2:V200)&gt;0)+(COUNT(W2:W200)&gt;0)+(COUNT(X2:X200)&gt;0)</f>
        <v>4</v>
      </c>
      <c r="AJ2" s="29">
        <f t="shared" ref="AJ2:AJ21" si="8">COUNTIF(Q2:X2,"P")*0</f>
        <v>0</v>
      </c>
    </row>
    <row r="3" spans="1:36" ht="18" customHeight="1" x14ac:dyDescent="0.45">
      <c r="A3" s="16">
        <v>2</v>
      </c>
      <c r="B3" s="17" t="s">
        <v>39</v>
      </c>
      <c r="C3" s="16">
        <v>1</v>
      </c>
      <c r="D3" s="16">
        <v>2</v>
      </c>
      <c r="E3" s="16" t="s">
        <v>37</v>
      </c>
      <c r="F3" s="16" t="s">
        <v>37</v>
      </c>
      <c r="G3" s="16"/>
      <c r="H3" s="16"/>
      <c r="I3" s="16">
        <v>3</v>
      </c>
      <c r="J3" s="16">
        <v>3</v>
      </c>
      <c r="K3" s="16">
        <v>2</v>
      </c>
      <c r="L3" s="46">
        <v>1</v>
      </c>
      <c r="M3" s="16"/>
      <c r="N3" s="16"/>
      <c r="O3" s="16">
        <v>1</v>
      </c>
      <c r="P3" s="18">
        <f t="shared" si="0"/>
        <v>1.8666666666666667</v>
      </c>
      <c r="Q3" s="19"/>
      <c r="R3" s="19"/>
      <c r="S3" s="19"/>
      <c r="T3" s="19"/>
      <c r="U3" s="19"/>
      <c r="V3" s="19"/>
      <c r="W3" s="19"/>
      <c r="X3" s="19"/>
      <c r="Y3" s="20">
        <f t="shared" si="1"/>
        <v>0</v>
      </c>
      <c r="Z3" s="21">
        <f t="shared" si="2"/>
        <v>0</v>
      </c>
      <c r="AA3" s="22">
        <f t="shared" si="3"/>
        <v>0</v>
      </c>
      <c r="AB3" s="23">
        <f t="shared" si="4"/>
        <v>0</v>
      </c>
      <c r="AC3" s="24">
        <f t="shared" si="5"/>
        <v>0</v>
      </c>
      <c r="AD3" s="22">
        <f t="shared" si="6"/>
        <v>1.8666666666666667</v>
      </c>
      <c r="AE3" s="25">
        <f t="shared" si="7"/>
        <v>2</v>
      </c>
      <c r="AF3" s="26" t="s">
        <v>40</v>
      </c>
      <c r="AG3" s="30" t="s">
        <v>41</v>
      </c>
      <c r="AJ3" s="29">
        <f t="shared" si="8"/>
        <v>0</v>
      </c>
    </row>
    <row r="4" spans="1:36" ht="18" customHeight="1" x14ac:dyDescent="0.45">
      <c r="A4" s="16">
        <v>3</v>
      </c>
      <c r="B4" s="17" t="s">
        <v>42</v>
      </c>
      <c r="C4" s="16">
        <v>1</v>
      </c>
      <c r="D4" s="16">
        <v>2</v>
      </c>
      <c r="E4" s="16">
        <v>2</v>
      </c>
      <c r="F4" s="16">
        <v>3</v>
      </c>
      <c r="G4" s="16"/>
      <c r="H4" s="16"/>
      <c r="I4" s="16">
        <v>2</v>
      </c>
      <c r="J4" s="16">
        <v>3</v>
      </c>
      <c r="K4" s="16">
        <v>3</v>
      </c>
      <c r="L4" s="16">
        <v>2</v>
      </c>
      <c r="M4" s="16"/>
      <c r="N4" s="16"/>
      <c r="O4" s="16">
        <v>2</v>
      </c>
      <c r="P4" s="18">
        <f t="shared" si="0"/>
        <v>2.1904761904761907</v>
      </c>
      <c r="Q4" s="19"/>
      <c r="R4" s="16"/>
      <c r="S4" s="19"/>
      <c r="T4" s="19"/>
      <c r="U4" s="16"/>
      <c r="V4" s="19"/>
      <c r="W4" s="19"/>
      <c r="X4" s="16"/>
      <c r="Y4" s="20">
        <f t="shared" si="1"/>
        <v>0</v>
      </c>
      <c r="Z4" s="21">
        <f t="shared" si="2"/>
        <v>0</v>
      </c>
      <c r="AA4" s="22">
        <f t="shared" si="3"/>
        <v>0</v>
      </c>
      <c r="AB4" s="23">
        <f t="shared" si="4"/>
        <v>0</v>
      </c>
      <c r="AC4" s="24">
        <f t="shared" si="5"/>
        <v>0</v>
      </c>
      <c r="AD4" s="22">
        <f t="shared" si="6"/>
        <v>2.1904761904761907</v>
      </c>
      <c r="AE4" s="25">
        <f t="shared" si="7"/>
        <v>2</v>
      </c>
      <c r="AF4" s="26" t="s">
        <v>43</v>
      </c>
      <c r="AG4" s="27" t="s">
        <v>44</v>
      </c>
      <c r="AJ4" s="29">
        <f t="shared" si="8"/>
        <v>0</v>
      </c>
    </row>
    <row r="5" spans="1:36" ht="18" customHeight="1" x14ac:dyDescent="0.45">
      <c r="A5" s="16">
        <v>4</v>
      </c>
      <c r="B5" s="17" t="s">
        <v>45</v>
      </c>
      <c r="C5" s="16">
        <v>1</v>
      </c>
      <c r="D5" s="16" t="s">
        <v>37</v>
      </c>
      <c r="E5" s="16">
        <v>1</v>
      </c>
      <c r="F5" s="16">
        <v>1</v>
      </c>
      <c r="G5" s="16"/>
      <c r="H5" s="16"/>
      <c r="I5" s="16">
        <v>3</v>
      </c>
      <c r="J5" s="16">
        <v>2</v>
      </c>
      <c r="K5" s="16">
        <v>2</v>
      </c>
      <c r="L5" s="16">
        <v>1</v>
      </c>
      <c r="M5" s="16"/>
      <c r="N5" s="16"/>
      <c r="O5" s="16">
        <v>2</v>
      </c>
      <c r="P5" s="18">
        <f t="shared" si="0"/>
        <v>1.5</v>
      </c>
      <c r="Q5" s="19">
        <v>89</v>
      </c>
      <c r="R5" s="19">
        <v>87</v>
      </c>
      <c r="S5" s="19">
        <v>92</v>
      </c>
      <c r="T5" s="19"/>
      <c r="U5" s="19"/>
      <c r="V5" s="19"/>
      <c r="W5" s="19"/>
      <c r="X5" s="19"/>
      <c r="Y5" s="20">
        <f t="shared" si="1"/>
        <v>3</v>
      </c>
      <c r="Z5" s="21">
        <f t="shared" si="2"/>
        <v>0.75</v>
      </c>
      <c r="AA5" s="22">
        <f t="shared" si="3"/>
        <v>-0.18333333333333335</v>
      </c>
      <c r="AB5" s="23">
        <f t="shared" si="4"/>
        <v>-0.15</v>
      </c>
      <c r="AC5" s="24">
        <f t="shared" si="5"/>
        <v>-0.33333333333333337</v>
      </c>
      <c r="AD5" s="22">
        <f t="shared" si="6"/>
        <v>1.1666666666666665</v>
      </c>
      <c r="AE5" s="25">
        <f t="shared" si="7"/>
        <v>1</v>
      </c>
      <c r="AF5" s="26" t="s">
        <v>46</v>
      </c>
      <c r="AG5" s="30" t="s">
        <v>47</v>
      </c>
      <c r="AJ5" s="29">
        <f t="shared" si="8"/>
        <v>0</v>
      </c>
    </row>
    <row r="6" spans="1:36" ht="18" customHeight="1" x14ac:dyDescent="0.45">
      <c r="A6" s="16">
        <v>5</v>
      </c>
      <c r="B6" s="17" t="s">
        <v>48</v>
      </c>
      <c r="C6" s="16">
        <v>1</v>
      </c>
      <c r="D6" s="16">
        <v>1</v>
      </c>
      <c r="E6" s="16">
        <v>2</v>
      </c>
      <c r="F6" s="16">
        <v>1</v>
      </c>
      <c r="G6" s="16"/>
      <c r="H6" s="16"/>
      <c r="I6" s="16">
        <v>2</v>
      </c>
      <c r="J6" s="16">
        <v>3</v>
      </c>
      <c r="K6" s="16">
        <v>3</v>
      </c>
      <c r="L6" s="16">
        <v>1</v>
      </c>
      <c r="M6" s="16"/>
      <c r="N6" s="16"/>
      <c r="O6" s="16">
        <v>2</v>
      </c>
      <c r="P6" s="18">
        <f t="shared" si="0"/>
        <v>1.6666666666666667</v>
      </c>
      <c r="Q6" s="19"/>
      <c r="R6" s="19">
        <v>0</v>
      </c>
      <c r="S6" s="19"/>
      <c r="T6" s="19"/>
      <c r="U6" s="19"/>
      <c r="V6" s="19"/>
      <c r="W6" s="19"/>
      <c r="X6" s="19"/>
      <c r="Y6" s="20">
        <f t="shared" si="1"/>
        <v>0</v>
      </c>
      <c r="Z6" s="21">
        <f t="shared" si="2"/>
        <v>0</v>
      </c>
      <c r="AA6" s="22">
        <f t="shared" si="3"/>
        <v>0</v>
      </c>
      <c r="AB6" s="23">
        <f t="shared" si="4"/>
        <v>0</v>
      </c>
      <c r="AC6" s="24">
        <f t="shared" si="5"/>
        <v>0</v>
      </c>
      <c r="AD6" s="22">
        <f t="shared" si="6"/>
        <v>1.6666666666666667</v>
      </c>
      <c r="AE6" s="25">
        <f t="shared" si="7"/>
        <v>2</v>
      </c>
      <c r="AF6" s="26" t="s">
        <v>49</v>
      </c>
      <c r="AG6" s="27" t="s">
        <v>50</v>
      </c>
      <c r="AJ6" s="29">
        <f t="shared" si="8"/>
        <v>0</v>
      </c>
    </row>
    <row r="7" spans="1:36" ht="18" customHeight="1" x14ac:dyDescent="0.45">
      <c r="A7" s="16">
        <v>6</v>
      </c>
      <c r="B7" s="17" t="s">
        <v>51</v>
      </c>
      <c r="C7" s="16">
        <v>2</v>
      </c>
      <c r="D7" s="16">
        <v>1</v>
      </c>
      <c r="E7" s="16">
        <v>2</v>
      </c>
      <c r="F7" s="16">
        <v>3</v>
      </c>
      <c r="G7" s="16"/>
      <c r="H7" s="16"/>
      <c r="I7" s="16">
        <v>3</v>
      </c>
      <c r="J7" s="16">
        <v>3</v>
      </c>
      <c r="K7" s="16">
        <v>3</v>
      </c>
      <c r="L7" s="16">
        <v>2</v>
      </c>
      <c r="M7" s="16"/>
      <c r="N7" s="16"/>
      <c r="O7" s="16" t="s">
        <v>37</v>
      </c>
      <c r="P7" s="18">
        <f t="shared" si="0"/>
        <v>2.2999999999999998</v>
      </c>
      <c r="Q7" s="19"/>
      <c r="R7" s="19"/>
      <c r="S7" s="19"/>
      <c r="T7" s="19"/>
      <c r="U7" s="19"/>
      <c r="V7" s="19"/>
      <c r="W7" s="19"/>
      <c r="X7" s="19"/>
      <c r="Y7" s="20">
        <f t="shared" si="1"/>
        <v>0</v>
      </c>
      <c r="Z7" s="21">
        <f t="shared" si="2"/>
        <v>0</v>
      </c>
      <c r="AA7" s="22">
        <f t="shared" si="3"/>
        <v>0</v>
      </c>
      <c r="AB7" s="23">
        <f t="shared" si="4"/>
        <v>0</v>
      </c>
      <c r="AC7" s="24">
        <f t="shared" si="5"/>
        <v>0</v>
      </c>
      <c r="AD7" s="22">
        <f t="shared" si="6"/>
        <v>2.2999999999999998</v>
      </c>
      <c r="AE7" s="25">
        <f t="shared" si="7"/>
        <v>2</v>
      </c>
      <c r="AF7" s="26" t="s">
        <v>52</v>
      </c>
      <c r="AG7" s="30" t="s">
        <v>53</v>
      </c>
      <c r="AJ7" s="29">
        <f t="shared" si="8"/>
        <v>0</v>
      </c>
    </row>
    <row r="8" spans="1:36" ht="18" customHeight="1" x14ac:dyDescent="0.45">
      <c r="A8" s="31">
        <v>7</v>
      </c>
      <c r="B8" s="32" t="s">
        <v>54</v>
      </c>
      <c r="C8" s="16">
        <v>1</v>
      </c>
      <c r="D8" s="16">
        <v>1</v>
      </c>
      <c r="E8" s="16">
        <v>1</v>
      </c>
      <c r="F8" s="16">
        <v>2</v>
      </c>
      <c r="G8" s="16"/>
      <c r="H8" s="16"/>
      <c r="I8" s="16">
        <v>3</v>
      </c>
      <c r="J8" s="16">
        <v>3</v>
      </c>
      <c r="K8" s="16" t="s">
        <v>37</v>
      </c>
      <c r="L8" s="16">
        <v>2</v>
      </c>
      <c r="M8" s="16"/>
      <c r="N8" s="16"/>
      <c r="O8" s="16">
        <v>1</v>
      </c>
      <c r="P8" s="18">
        <f t="shared" si="0"/>
        <v>1.6842105263157894</v>
      </c>
      <c r="Q8" s="19"/>
      <c r="R8" s="16">
        <v>99</v>
      </c>
      <c r="S8" s="19">
        <v>0</v>
      </c>
      <c r="T8" s="19"/>
      <c r="U8" s="16"/>
      <c r="V8" s="19"/>
      <c r="W8" s="19"/>
      <c r="X8" s="16"/>
      <c r="Y8" s="20">
        <f t="shared" si="1"/>
        <v>1</v>
      </c>
      <c r="Z8" s="21">
        <f t="shared" si="2"/>
        <v>0.25</v>
      </c>
      <c r="AA8" s="22">
        <f t="shared" si="3"/>
        <v>0</v>
      </c>
      <c r="AB8" s="23">
        <f t="shared" si="4"/>
        <v>0</v>
      </c>
      <c r="AC8" s="24">
        <f t="shared" si="5"/>
        <v>0</v>
      </c>
      <c r="AD8" s="22">
        <f t="shared" si="6"/>
        <v>1.6842105263157894</v>
      </c>
      <c r="AE8" s="25">
        <f t="shared" si="7"/>
        <v>2</v>
      </c>
      <c r="AF8" s="26" t="s">
        <v>55</v>
      </c>
      <c r="AG8" s="27" t="s">
        <v>56</v>
      </c>
      <c r="AJ8" s="29">
        <f t="shared" si="8"/>
        <v>0</v>
      </c>
    </row>
    <row r="9" spans="1:36" ht="18" customHeight="1" x14ac:dyDescent="0.45">
      <c r="A9" s="16">
        <v>8</v>
      </c>
      <c r="B9" s="17" t="s">
        <v>57</v>
      </c>
      <c r="C9" s="16">
        <v>1</v>
      </c>
      <c r="D9" s="16">
        <v>1</v>
      </c>
      <c r="E9" s="16">
        <v>1</v>
      </c>
      <c r="F9" s="16">
        <v>2</v>
      </c>
      <c r="G9" s="16"/>
      <c r="H9" s="16"/>
      <c r="I9" s="16">
        <v>3</v>
      </c>
      <c r="J9" s="16">
        <v>3</v>
      </c>
      <c r="K9" s="16">
        <v>3</v>
      </c>
      <c r="L9" s="16" t="s">
        <v>37</v>
      </c>
      <c r="M9" s="16"/>
      <c r="N9" s="16"/>
      <c r="O9" s="16">
        <v>1</v>
      </c>
      <c r="P9" s="18">
        <f t="shared" si="0"/>
        <v>1.7894736842105263</v>
      </c>
      <c r="Q9" s="19">
        <v>86</v>
      </c>
      <c r="R9" s="16"/>
      <c r="S9" s="19">
        <v>99</v>
      </c>
      <c r="T9" s="19"/>
      <c r="U9" s="16"/>
      <c r="V9" s="19"/>
      <c r="W9" s="19"/>
      <c r="X9" s="16"/>
      <c r="Y9" s="20">
        <f t="shared" si="1"/>
        <v>2</v>
      </c>
      <c r="Z9" s="21">
        <f t="shared" si="2"/>
        <v>0.5</v>
      </c>
      <c r="AA9" s="22">
        <f t="shared" si="3"/>
        <v>0</v>
      </c>
      <c r="AB9" s="23">
        <f t="shared" si="4"/>
        <v>0</v>
      </c>
      <c r="AC9" s="24">
        <f t="shared" si="5"/>
        <v>0</v>
      </c>
      <c r="AD9" s="22">
        <f t="shared" si="6"/>
        <v>1.7894736842105263</v>
      </c>
      <c r="AE9" s="25">
        <f t="shared" si="7"/>
        <v>2</v>
      </c>
      <c r="AF9" s="26" t="s">
        <v>58</v>
      </c>
      <c r="AG9" s="30" t="s">
        <v>59</v>
      </c>
      <c r="AJ9" s="29">
        <f t="shared" si="8"/>
        <v>0</v>
      </c>
    </row>
    <row r="10" spans="1:36" ht="18" customHeight="1" x14ac:dyDescent="0.45">
      <c r="A10" s="16">
        <v>9</v>
      </c>
      <c r="B10" s="17" t="s">
        <v>60</v>
      </c>
      <c r="C10" s="16">
        <v>1</v>
      </c>
      <c r="D10" s="16">
        <v>1</v>
      </c>
      <c r="E10" s="16">
        <v>2</v>
      </c>
      <c r="F10" s="16">
        <v>3</v>
      </c>
      <c r="G10" s="16"/>
      <c r="H10" s="16"/>
      <c r="I10" s="16">
        <v>3</v>
      </c>
      <c r="J10" s="16" t="s">
        <v>37</v>
      </c>
      <c r="K10" s="16">
        <v>3</v>
      </c>
      <c r="L10" s="16">
        <v>4</v>
      </c>
      <c r="M10" s="16"/>
      <c r="N10" s="16"/>
      <c r="O10" s="16">
        <v>2</v>
      </c>
      <c r="P10" s="18">
        <f t="shared" si="0"/>
        <v>2.263157894736842</v>
      </c>
      <c r="Q10" s="19"/>
      <c r="R10" s="19"/>
      <c r="S10" s="19">
        <v>89</v>
      </c>
      <c r="T10" s="19"/>
      <c r="U10" s="19"/>
      <c r="V10" s="19"/>
      <c r="W10" s="19"/>
      <c r="X10" s="19"/>
      <c r="Y10" s="20">
        <f t="shared" si="1"/>
        <v>1</v>
      </c>
      <c r="Z10" s="21">
        <f t="shared" si="2"/>
        <v>0.25</v>
      </c>
      <c r="AA10" s="22">
        <f t="shared" si="3"/>
        <v>0</v>
      </c>
      <c r="AB10" s="23">
        <f t="shared" si="4"/>
        <v>0</v>
      </c>
      <c r="AC10" s="24">
        <f t="shared" si="5"/>
        <v>0</v>
      </c>
      <c r="AD10" s="22">
        <f t="shared" si="6"/>
        <v>2.263157894736842</v>
      </c>
      <c r="AE10" s="25">
        <f t="shared" si="7"/>
        <v>2</v>
      </c>
      <c r="AF10" s="26" t="s">
        <v>61</v>
      </c>
      <c r="AG10" s="27" t="s">
        <v>62</v>
      </c>
      <c r="AJ10" s="29">
        <f t="shared" si="8"/>
        <v>0</v>
      </c>
    </row>
    <row r="11" spans="1:36" ht="18" customHeight="1" x14ac:dyDescent="0.45">
      <c r="A11" s="16">
        <v>10</v>
      </c>
      <c r="B11" s="17" t="s">
        <v>63</v>
      </c>
      <c r="C11" s="16">
        <v>2</v>
      </c>
      <c r="D11" s="16">
        <v>2</v>
      </c>
      <c r="E11" s="16">
        <v>1</v>
      </c>
      <c r="F11" s="16">
        <v>2</v>
      </c>
      <c r="G11" s="16"/>
      <c r="H11" s="16"/>
      <c r="I11" s="16">
        <v>3</v>
      </c>
      <c r="J11" s="16" t="s">
        <v>37</v>
      </c>
      <c r="K11" s="16" t="s">
        <v>37</v>
      </c>
      <c r="L11" s="16" t="s">
        <v>37</v>
      </c>
      <c r="M11" s="16"/>
      <c r="N11" s="16"/>
      <c r="O11" s="16">
        <v>2</v>
      </c>
      <c r="P11" s="18">
        <f t="shared" si="0"/>
        <v>1.9333333333333333</v>
      </c>
      <c r="Q11" s="19"/>
      <c r="R11" s="16"/>
      <c r="S11" s="19"/>
      <c r="T11" s="19">
        <v>100</v>
      </c>
      <c r="U11" s="16"/>
      <c r="V11" s="19"/>
      <c r="W11" s="19"/>
      <c r="X11" s="16"/>
      <c r="Y11" s="20">
        <f t="shared" si="1"/>
        <v>1</v>
      </c>
      <c r="Z11" s="21">
        <f t="shared" si="2"/>
        <v>0.25</v>
      </c>
      <c r="AA11" s="22">
        <f t="shared" si="3"/>
        <v>0</v>
      </c>
      <c r="AB11" s="23">
        <f t="shared" si="4"/>
        <v>0</v>
      </c>
      <c r="AC11" s="24">
        <f t="shared" si="5"/>
        <v>0</v>
      </c>
      <c r="AD11" s="22">
        <f t="shared" si="6"/>
        <v>1.9333333333333333</v>
      </c>
      <c r="AE11" s="25">
        <f t="shared" si="7"/>
        <v>2</v>
      </c>
      <c r="AF11" s="26" t="s">
        <v>64</v>
      </c>
      <c r="AG11" s="30" t="s">
        <v>65</v>
      </c>
      <c r="AJ11" s="29">
        <f t="shared" si="8"/>
        <v>0</v>
      </c>
    </row>
    <row r="12" spans="1:36" ht="18" customHeight="1" x14ac:dyDescent="0.45">
      <c r="A12" s="16">
        <v>11</v>
      </c>
      <c r="B12" s="17" t="s">
        <v>66</v>
      </c>
      <c r="C12" s="16">
        <v>1</v>
      </c>
      <c r="D12" s="16">
        <v>1</v>
      </c>
      <c r="E12" s="16">
        <v>1</v>
      </c>
      <c r="F12" s="16" t="s">
        <v>37</v>
      </c>
      <c r="G12" s="16"/>
      <c r="H12" s="16"/>
      <c r="I12" s="16">
        <v>2</v>
      </c>
      <c r="J12" s="16">
        <v>3</v>
      </c>
      <c r="K12" s="16">
        <v>2</v>
      </c>
      <c r="L12" s="16">
        <v>2</v>
      </c>
      <c r="M12" s="16"/>
      <c r="N12" s="16"/>
      <c r="O12" s="16">
        <v>1</v>
      </c>
      <c r="P12" s="18">
        <f t="shared" si="0"/>
        <v>1.5555555555555556</v>
      </c>
      <c r="Q12" s="19">
        <v>99</v>
      </c>
      <c r="R12" s="16">
        <v>96</v>
      </c>
      <c r="S12" s="19">
        <v>96</v>
      </c>
      <c r="T12" s="19"/>
      <c r="U12" s="16"/>
      <c r="V12" s="19"/>
      <c r="W12" s="19"/>
      <c r="X12" s="16"/>
      <c r="Y12" s="20">
        <f t="shared" si="1"/>
        <v>3</v>
      </c>
      <c r="Z12" s="21">
        <f t="shared" si="2"/>
        <v>0.75</v>
      </c>
      <c r="AA12" s="22">
        <f t="shared" si="3"/>
        <v>-0.25</v>
      </c>
      <c r="AB12" s="23">
        <f t="shared" si="4"/>
        <v>-0.15</v>
      </c>
      <c r="AC12" s="24">
        <f t="shared" si="5"/>
        <v>-0.4</v>
      </c>
      <c r="AD12" s="22">
        <f t="shared" si="6"/>
        <v>1.1555555555555554</v>
      </c>
      <c r="AE12" s="25">
        <f t="shared" si="7"/>
        <v>1</v>
      </c>
      <c r="AF12" s="26" t="s">
        <v>67</v>
      </c>
      <c r="AG12" s="27" t="s">
        <v>68</v>
      </c>
      <c r="AJ12" s="29">
        <f t="shared" si="8"/>
        <v>0</v>
      </c>
    </row>
    <row r="13" spans="1:36" ht="18" customHeight="1" x14ac:dyDescent="0.45">
      <c r="A13" s="16">
        <v>12</v>
      </c>
      <c r="B13" s="17" t="s">
        <v>69</v>
      </c>
      <c r="C13" s="16">
        <v>1</v>
      </c>
      <c r="D13" s="16">
        <v>2</v>
      </c>
      <c r="E13" s="16">
        <v>2</v>
      </c>
      <c r="F13" s="16">
        <v>2</v>
      </c>
      <c r="G13" s="16"/>
      <c r="H13" s="16"/>
      <c r="I13" s="16">
        <v>2</v>
      </c>
      <c r="J13" s="16" t="s">
        <v>37</v>
      </c>
      <c r="K13" s="16">
        <v>3</v>
      </c>
      <c r="L13" s="16">
        <v>5</v>
      </c>
      <c r="M13" s="16"/>
      <c r="N13" s="16"/>
      <c r="O13" s="16">
        <v>1</v>
      </c>
      <c r="P13" s="18">
        <f t="shared" si="0"/>
        <v>2.2105263157894739</v>
      </c>
      <c r="Q13" s="19"/>
      <c r="R13" s="16"/>
      <c r="S13" s="19"/>
      <c r="T13" s="19"/>
      <c r="U13" s="16"/>
      <c r="V13" s="19"/>
      <c r="W13" s="19"/>
      <c r="X13" s="16"/>
      <c r="Y13" s="20">
        <f t="shared" si="1"/>
        <v>0</v>
      </c>
      <c r="Z13" s="21">
        <f t="shared" si="2"/>
        <v>0</v>
      </c>
      <c r="AA13" s="22">
        <f t="shared" si="3"/>
        <v>0</v>
      </c>
      <c r="AB13" s="23">
        <f t="shared" si="4"/>
        <v>0</v>
      </c>
      <c r="AC13" s="24">
        <f t="shared" si="5"/>
        <v>0</v>
      </c>
      <c r="AD13" s="22">
        <f t="shared" si="6"/>
        <v>2.2105263157894739</v>
      </c>
      <c r="AE13" s="25">
        <f t="shared" si="7"/>
        <v>2</v>
      </c>
      <c r="AF13" s="26" t="s">
        <v>70</v>
      </c>
      <c r="AG13" s="30" t="s">
        <v>71</v>
      </c>
      <c r="AJ13" s="29">
        <f t="shared" si="8"/>
        <v>0</v>
      </c>
    </row>
    <row r="14" spans="1:36" ht="18" customHeight="1" x14ac:dyDescent="0.45">
      <c r="A14" s="31">
        <v>13</v>
      </c>
      <c r="B14" s="32" t="s">
        <v>72</v>
      </c>
      <c r="C14" s="16">
        <v>1</v>
      </c>
      <c r="D14" s="16" t="s">
        <v>37</v>
      </c>
      <c r="E14" s="16">
        <v>2</v>
      </c>
      <c r="F14" s="16">
        <v>3</v>
      </c>
      <c r="G14" s="16"/>
      <c r="H14" s="16"/>
      <c r="I14" s="16">
        <v>5</v>
      </c>
      <c r="J14" s="16" t="s">
        <v>37</v>
      </c>
      <c r="K14" s="16">
        <v>3</v>
      </c>
      <c r="L14" s="16" t="s">
        <v>37</v>
      </c>
      <c r="M14" s="16"/>
      <c r="N14" s="16"/>
      <c r="O14" s="16">
        <v>1</v>
      </c>
      <c r="P14" s="18">
        <f t="shared" si="0"/>
        <v>2.5</v>
      </c>
      <c r="Q14" s="19"/>
      <c r="R14" s="16"/>
      <c r="S14" s="19">
        <v>96</v>
      </c>
      <c r="T14" s="19">
        <v>100</v>
      </c>
      <c r="U14" s="16"/>
      <c r="V14" s="19"/>
      <c r="W14" s="19"/>
      <c r="X14" s="16"/>
      <c r="Y14" s="20">
        <f t="shared" si="1"/>
        <v>2</v>
      </c>
      <c r="Z14" s="21">
        <f t="shared" si="2"/>
        <v>0.5</v>
      </c>
      <c r="AA14" s="22">
        <f t="shared" si="3"/>
        <v>0</v>
      </c>
      <c r="AB14" s="23">
        <f t="shared" si="4"/>
        <v>0</v>
      </c>
      <c r="AC14" s="24">
        <f t="shared" si="5"/>
        <v>0</v>
      </c>
      <c r="AD14" s="22">
        <f t="shared" si="6"/>
        <v>2.5</v>
      </c>
      <c r="AE14" s="25">
        <f t="shared" si="7"/>
        <v>2</v>
      </c>
      <c r="AF14" s="26" t="s">
        <v>73</v>
      </c>
      <c r="AG14" s="27" t="s">
        <v>74</v>
      </c>
      <c r="AJ14" s="29">
        <f t="shared" si="8"/>
        <v>0</v>
      </c>
    </row>
    <row r="15" spans="1:36" ht="18" customHeight="1" x14ac:dyDescent="0.45">
      <c r="A15" s="16">
        <v>14</v>
      </c>
      <c r="B15" s="17" t="s">
        <v>75</v>
      </c>
      <c r="C15" s="16">
        <v>3</v>
      </c>
      <c r="D15" s="16">
        <v>2</v>
      </c>
      <c r="E15" s="16">
        <v>3</v>
      </c>
      <c r="F15" s="16">
        <v>4</v>
      </c>
      <c r="G15" s="16"/>
      <c r="H15" s="16"/>
      <c r="I15" s="16">
        <v>3</v>
      </c>
      <c r="J15" s="16">
        <v>5</v>
      </c>
      <c r="K15" s="16">
        <v>4</v>
      </c>
      <c r="L15" s="16">
        <v>2</v>
      </c>
      <c r="M15" s="16"/>
      <c r="N15" s="16"/>
      <c r="O15" s="16"/>
      <c r="P15" s="18">
        <f t="shared" si="0"/>
        <v>3.2</v>
      </c>
      <c r="Q15" s="19">
        <v>99</v>
      </c>
      <c r="R15" s="16"/>
      <c r="S15" s="19"/>
      <c r="T15" s="19"/>
      <c r="U15" s="16"/>
      <c r="V15" s="19"/>
      <c r="W15" s="19"/>
      <c r="X15" s="16"/>
      <c r="Y15" s="20">
        <f t="shared" si="1"/>
        <v>1</v>
      </c>
      <c r="Z15" s="21">
        <f t="shared" si="2"/>
        <v>0.25</v>
      </c>
      <c r="AA15" s="22">
        <f t="shared" si="3"/>
        <v>0</v>
      </c>
      <c r="AB15" s="23">
        <f t="shared" si="4"/>
        <v>0</v>
      </c>
      <c r="AC15" s="24">
        <f t="shared" si="5"/>
        <v>0</v>
      </c>
      <c r="AD15" s="22">
        <f t="shared" si="6"/>
        <v>3.2</v>
      </c>
      <c r="AE15" s="25">
        <f t="shared" si="7"/>
        <v>3</v>
      </c>
      <c r="AF15" s="26" t="s">
        <v>76</v>
      </c>
      <c r="AG15" s="30" t="s">
        <v>77</v>
      </c>
      <c r="AJ15" s="29">
        <f t="shared" si="8"/>
        <v>0</v>
      </c>
    </row>
    <row r="16" spans="1:36" ht="18" customHeight="1" x14ac:dyDescent="0.45">
      <c r="A16" s="16">
        <v>15</v>
      </c>
      <c r="B16" s="17" t="s">
        <v>78</v>
      </c>
      <c r="C16" s="16">
        <v>1</v>
      </c>
      <c r="D16" s="16">
        <v>1</v>
      </c>
      <c r="E16" s="16" t="s">
        <v>37</v>
      </c>
      <c r="F16" s="16">
        <v>4</v>
      </c>
      <c r="G16" s="16"/>
      <c r="H16" s="16"/>
      <c r="I16" s="16">
        <v>4</v>
      </c>
      <c r="J16" s="16">
        <v>3</v>
      </c>
      <c r="K16" s="16">
        <v>3</v>
      </c>
      <c r="L16" s="16">
        <v>1</v>
      </c>
      <c r="M16" s="16"/>
      <c r="N16" s="16"/>
      <c r="O16" s="16" t="s">
        <v>37</v>
      </c>
      <c r="P16" s="18">
        <f t="shared" si="0"/>
        <v>2.3529411764705883</v>
      </c>
      <c r="Q16" s="19"/>
      <c r="R16" s="16"/>
      <c r="S16" s="19">
        <v>93</v>
      </c>
      <c r="T16" s="19"/>
      <c r="U16" s="16"/>
      <c r="V16" s="19"/>
      <c r="W16" s="19"/>
      <c r="X16" s="16"/>
      <c r="Y16" s="20">
        <f t="shared" si="1"/>
        <v>1</v>
      </c>
      <c r="Z16" s="21">
        <f t="shared" si="2"/>
        <v>0.25</v>
      </c>
      <c r="AA16" s="22">
        <f t="shared" si="3"/>
        <v>0</v>
      </c>
      <c r="AB16" s="23">
        <f t="shared" si="4"/>
        <v>0</v>
      </c>
      <c r="AC16" s="24">
        <f t="shared" si="5"/>
        <v>0</v>
      </c>
      <c r="AD16" s="22">
        <f t="shared" si="6"/>
        <v>2.3529411764705883</v>
      </c>
      <c r="AE16" s="25">
        <f t="shared" si="7"/>
        <v>2</v>
      </c>
      <c r="AF16" s="26" t="s">
        <v>79</v>
      </c>
      <c r="AG16" s="27" t="s">
        <v>80</v>
      </c>
      <c r="AJ16" s="29">
        <f t="shared" si="8"/>
        <v>0</v>
      </c>
    </row>
    <row r="17" spans="1:36" ht="18" customHeight="1" x14ac:dyDescent="0.45">
      <c r="A17" s="16">
        <v>16</v>
      </c>
      <c r="B17" s="17" t="s">
        <v>81</v>
      </c>
      <c r="C17" s="16">
        <v>1</v>
      </c>
      <c r="D17" s="16">
        <v>1</v>
      </c>
      <c r="E17" s="16" t="s">
        <v>37</v>
      </c>
      <c r="F17" s="16">
        <v>1</v>
      </c>
      <c r="G17" s="16"/>
      <c r="H17" s="16"/>
      <c r="I17" s="16">
        <v>3</v>
      </c>
      <c r="J17" s="16">
        <v>2</v>
      </c>
      <c r="K17" s="16" t="s">
        <v>37</v>
      </c>
      <c r="L17" s="16">
        <v>1</v>
      </c>
      <c r="M17" s="16"/>
      <c r="N17" s="16"/>
      <c r="O17" s="16" t="s">
        <v>37</v>
      </c>
      <c r="P17" s="18">
        <f t="shared" si="0"/>
        <v>1.4</v>
      </c>
      <c r="Q17" s="19"/>
      <c r="R17" s="16"/>
      <c r="S17" s="19">
        <v>93</v>
      </c>
      <c r="T17" s="19">
        <v>100</v>
      </c>
      <c r="U17" s="16"/>
      <c r="V17" s="19"/>
      <c r="W17" s="19"/>
      <c r="X17" s="16"/>
      <c r="Y17" s="20">
        <f t="shared" si="1"/>
        <v>2</v>
      </c>
      <c r="Z17" s="21">
        <f t="shared" si="2"/>
        <v>0.5</v>
      </c>
      <c r="AA17" s="22">
        <f t="shared" si="3"/>
        <v>0</v>
      </c>
      <c r="AB17" s="23">
        <f t="shared" si="4"/>
        <v>0</v>
      </c>
      <c r="AC17" s="24">
        <f t="shared" si="5"/>
        <v>0</v>
      </c>
      <c r="AD17" s="22">
        <f t="shared" si="6"/>
        <v>1.4</v>
      </c>
      <c r="AE17" s="25">
        <f t="shared" si="7"/>
        <v>1</v>
      </c>
      <c r="AF17" s="26" t="s">
        <v>82</v>
      </c>
      <c r="AG17" s="30" t="s">
        <v>83</v>
      </c>
      <c r="AJ17" s="29">
        <f t="shared" si="8"/>
        <v>0</v>
      </c>
    </row>
    <row r="18" spans="1:36" ht="18" customHeight="1" x14ac:dyDescent="0.45">
      <c r="A18" s="16">
        <v>17</v>
      </c>
      <c r="B18" s="17" t="s">
        <v>84</v>
      </c>
      <c r="C18" s="16">
        <v>1</v>
      </c>
      <c r="D18" s="16">
        <v>1</v>
      </c>
      <c r="E18" s="16">
        <v>1</v>
      </c>
      <c r="F18" s="16">
        <v>1</v>
      </c>
      <c r="G18" s="16"/>
      <c r="H18" s="16"/>
      <c r="I18" s="16">
        <v>2</v>
      </c>
      <c r="J18" s="16">
        <v>1</v>
      </c>
      <c r="K18" s="16">
        <v>3</v>
      </c>
      <c r="L18" s="16">
        <v>2</v>
      </c>
      <c r="M18" s="16"/>
      <c r="N18" s="16"/>
      <c r="O18" s="16">
        <v>2</v>
      </c>
      <c r="P18" s="18">
        <f t="shared" si="0"/>
        <v>1.4285714285714286</v>
      </c>
      <c r="Q18" s="19"/>
      <c r="R18" s="16"/>
      <c r="S18" s="19">
        <v>90</v>
      </c>
      <c r="T18" s="19"/>
      <c r="U18" s="16"/>
      <c r="V18" s="19"/>
      <c r="W18" s="19"/>
      <c r="X18" s="16"/>
      <c r="Y18" s="20">
        <f t="shared" si="1"/>
        <v>1</v>
      </c>
      <c r="Z18" s="21">
        <f t="shared" si="2"/>
        <v>0.25</v>
      </c>
      <c r="AA18" s="22">
        <f t="shared" si="3"/>
        <v>0</v>
      </c>
      <c r="AB18" s="23">
        <f t="shared" si="4"/>
        <v>0</v>
      </c>
      <c r="AC18" s="24">
        <f t="shared" si="5"/>
        <v>0</v>
      </c>
      <c r="AD18" s="22">
        <f t="shared" si="6"/>
        <v>1.4285714285714286</v>
      </c>
      <c r="AE18" s="25">
        <f t="shared" si="7"/>
        <v>1</v>
      </c>
      <c r="AF18" s="26" t="s">
        <v>85</v>
      </c>
      <c r="AG18" s="27" t="s">
        <v>86</v>
      </c>
      <c r="AJ18" s="29">
        <f t="shared" si="8"/>
        <v>0</v>
      </c>
    </row>
    <row r="19" spans="1:36" ht="18" customHeight="1" x14ac:dyDescent="0.45">
      <c r="A19" s="16">
        <v>18</v>
      </c>
      <c r="B19" s="17" t="s">
        <v>87</v>
      </c>
      <c r="C19" s="16">
        <v>1</v>
      </c>
      <c r="D19" s="16">
        <v>2</v>
      </c>
      <c r="E19" s="16">
        <v>2</v>
      </c>
      <c r="F19" s="16">
        <v>2</v>
      </c>
      <c r="G19" s="16"/>
      <c r="H19" s="16"/>
      <c r="I19" s="16">
        <v>3</v>
      </c>
      <c r="J19" s="16">
        <v>2</v>
      </c>
      <c r="K19" s="16">
        <v>3</v>
      </c>
      <c r="L19" s="16">
        <v>3</v>
      </c>
      <c r="M19" s="16"/>
      <c r="N19" s="16"/>
      <c r="O19" s="16">
        <v>2</v>
      </c>
      <c r="P19" s="18">
        <f t="shared" si="0"/>
        <v>2.1428571428571428</v>
      </c>
      <c r="Q19" s="19"/>
      <c r="R19" s="16"/>
      <c r="S19" s="19"/>
      <c r="T19" s="19"/>
      <c r="U19" s="16"/>
      <c r="V19" s="19"/>
      <c r="W19" s="19"/>
      <c r="X19" s="16"/>
      <c r="Y19" s="20">
        <f t="shared" si="1"/>
        <v>0</v>
      </c>
      <c r="Z19" s="21">
        <f t="shared" si="2"/>
        <v>0</v>
      </c>
      <c r="AA19" s="22">
        <f t="shared" si="3"/>
        <v>0</v>
      </c>
      <c r="AB19" s="23">
        <f t="shared" si="4"/>
        <v>0</v>
      </c>
      <c r="AC19" s="24">
        <f t="shared" si="5"/>
        <v>0</v>
      </c>
      <c r="AD19" s="22">
        <f t="shared" si="6"/>
        <v>2.1428571428571428</v>
      </c>
      <c r="AE19" s="25">
        <f t="shared" si="7"/>
        <v>2</v>
      </c>
      <c r="AF19" s="26" t="s">
        <v>88</v>
      </c>
      <c r="AG19" s="30" t="s">
        <v>89</v>
      </c>
      <c r="AJ19" s="29">
        <f t="shared" si="8"/>
        <v>0</v>
      </c>
    </row>
    <row r="20" spans="1:36" ht="18" customHeight="1" x14ac:dyDescent="0.45">
      <c r="A20" s="16">
        <v>19</v>
      </c>
      <c r="B20" s="17" t="s">
        <v>90</v>
      </c>
      <c r="C20" s="16">
        <v>2</v>
      </c>
      <c r="D20" s="16" t="s">
        <v>37</v>
      </c>
      <c r="E20" s="16">
        <v>2</v>
      </c>
      <c r="F20" s="16" t="s">
        <v>37</v>
      </c>
      <c r="G20" s="16"/>
      <c r="H20" s="16"/>
      <c r="I20" s="16" t="s">
        <v>37</v>
      </c>
      <c r="J20" s="16">
        <v>3</v>
      </c>
      <c r="K20" s="16">
        <v>3</v>
      </c>
      <c r="L20" s="16">
        <v>5</v>
      </c>
      <c r="M20" s="16"/>
      <c r="N20" s="16"/>
      <c r="O20" s="16">
        <v>1</v>
      </c>
      <c r="P20" s="18">
        <f t="shared" si="0"/>
        <v>2.6923076923076925</v>
      </c>
      <c r="Q20" s="19"/>
      <c r="R20" s="16"/>
      <c r="S20" s="19"/>
      <c r="T20" s="19"/>
      <c r="U20" s="16"/>
      <c r="V20" s="19"/>
      <c r="W20" s="19"/>
      <c r="X20" s="16"/>
      <c r="Y20" s="20">
        <f t="shared" si="1"/>
        <v>0</v>
      </c>
      <c r="Z20" s="21">
        <f t="shared" si="2"/>
        <v>0</v>
      </c>
      <c r="AA20" s="22">
        <f t="shared" si="3"/>
        <v>0</v>
      </c>
      <c r="AB20" s="23">
        <f t="shared" si="4"/>
        <v>0</v>
      </c>
      <c r="AC20" s="24">
        <f t="shared" si="5"/>
        <v>0</v>
      </c>
      <c r="AD20" s="22">
        <f t="shared" si="6"/>
        <v>2.6923076923076925</v>
      </c>
      <c r="AE20" s="25">
        <f t="shared" si="7"/>
        <v>3</v>
      </c>
      <c r="AF20" s="26" t="s">
        <v>91</v>
      </c>
      <c r="AG20" s="27" t="s">
        <v>92</v>
      </c>
      <c r="AJ20" s="29">
        <f t="shared" si="8"/>
        <v>0</v>
      </c>
    </row>
    <row r="21" spans="1:36" ht="18" customHeight="1" x14ac:dyDescent="0.45">
      <c r="A21" s="16">
        <v>20</v>
      </c>
      <c r="B21" s="17" t="s">
        <v>93</v>
      </c>
      <c r="C21" s="16">
        <v>1</v>
      </c>
      <c r="D21" s="16">
        <v>1</v>
      </c>
      <c r="E21" s="16">
        <v>2</v>
      </c>
      <c r="F21" s="16">
        <v>2</v>
      </c>
      <c r="G21" s="16"/>
      <c r="H21" s="16"/>
      <c r="I21" s="16">
        <v>1</v>
      </c>
      <c r="J21" s="16">
        <v>1</v>
      </c>
      <c r="K21" s="16">
        <v>3</v>
      </c>
      <c r="L21" s="16" t="s">
        <v>37</v>
      </c>
      <c r="M21" s="16"/>
      <c r="N21" s="16"/>
      <c r="O21" s="16">
        <v>2</v>
      </c>
      <c r="P21" s="18">
        <f t="shared" si="0"/>
        <v>1.5789473684210527</v>
      </c>
      <c r="Q21" s="19"/>
      <c r="R21" s="19"/>
      <c r="S21" s="19">
        <v>92</v>
      </c>
      <c r="T21" s="19"/>
      <c r="U21" s="19"/>
      <c r="V21" s="19"/>
      <c r="W21" s="19"/>
      <c r="X21" s="19"/>
      <c r="Y21" s="20">
        <f t="shared" si="1"/>
        <v>1</v>
      </c>
      <c r="Z21" s="21">
        <f t="shared" si="2"/>
        <v>0.25</v>
      </c>
      <c r="AA21" s="22">
        <f t="shared" si="3"/>
        <v>0</v>
      </c>
      <c r="AB21" s="23">
        <f t="shared" si="4"/>
        <v>0</v>
      </c>
      <c r="AC21" s="24">
        <f t="shared" si="5"/>
        <v>0</v>
      </c>
      <c r="AD21" s="22">
        <f t="shared" si="6"/>
        <v>1.5789473684210527</v>
      </c>
      <c r="AE21" s="25">
        <f t="shared" si="7"/>
        <v>2</v>
      </c>
      <c r="AF21" s="26" t="s">
        <v>94</v>
      </c>
      <c r="AG21" s="30" t="s">
        <v>95</v>
      </c>
      <c r="AJ21" s="29">
        <f t="shared" si="8"/>
        <v>0</v>
      </c>
    </row>
    <row r="22" spans="1:36" ht="14.25" customHeight="1" x14ac:dyDescent="0.35">
      <c r="P22" t="str">
        <f>IFERROR((IF(ISNUMBER(C22),C22*3,0)+IF(ISNUMBER(D22),D22*3,0)+IF(ISNUMBER(E22),E22*3,0)+IF(ISNUMBER(F22),F22*3,0)+IF(ISNUMBER(G22),G22*3,0)+IF(ISNUMBER(H22),H22*2,0)+IF(ISNUMBER(I22),I22*2,0)+IF(ISNUMBER(J22),J22*2,0)+IF(ISNUMBER(K22),K22*2,0)+IF(ISNUMBER(L22),L22*2,0)+IF(ISNUMBER(M22),M22*1,0))/(IF(ISNUMBER(C22),3,0)+IF(ISNUMBER(D22),3,0)+IF(ISNUMBER(E22),3,0)+IF(ISNUMBER(F22),3,0)+IF(ISNUMBER(G22),3,0)+IF(ISNUMBER(H22),2,0)+IF(ISNUMBER(I22),2,0)+IF(ISNUMBER(J22),2,0)+IF(ISNUMBER(K22),2,0)+IF(ISNUMBER(L22),2,0)+IF(ISNUMBER(M22),1,0)),"")</f>
        <v/>
      </c>
      <c r="Y22" t="str">
        <f>IF(ISBLANK(B22),"",COUNTIF(O22:V22,"&gt;0"))</f>
        <v/>
      </c>
      <c r="Z22" s="33" t="str">
        <f>IF(ISBLANK(B22),"",IF(W22=0,0,W22/$AF$2))</f>
        <v/>
      </c>
      <c r="AA22" t="str">
        <f>IF(ISBLANK(B22),"",IF(W22&lt;3,0,IF((IF(O22&gt;=60,1,0)+IF(P22&gt;=60,1,0)+IF(Q22&gt;=60,1,0)+IF(R22&gt;=60,1,0)+IF(S22&gt;=60,1,0)+IF(T22&gt;=60,1,0)+IF(U22&gt;=60,1,0)+IF(V22&gt;=60,1,0))&gt;0,(IF(O22&gt;=60,IF(O22&gt;=90,-0.25,IF(O22&gt;=75,-0.15,-0.1)),0)+IF(P22&gt;=60,IF(P22&gt;=90,-0.25,IF(P22&gt;=75,-0.15,-0.1)),0)+IF(Q22&gt;=60,IF(Q22&gt;=90,-0.25,IF(Q22&gt;=75,-0.15,-0.1)),0)+IF(R22&gt;=60,IF(R22&gt;=90,-0.25,IF(R22&gt;=75,-0.15,-0.1)),0)+IF(S22&gt;=60,IF(S22&gt;=90,-0.25,IF(S22&gt;=75,-0.15,-0.1)),0)+IF(T22&gt;=60,IF(T22&gt;=90,-0.25,IF(T22&gt;=75,-0.15,-0.1)),0)+IF(U22&gt;=60,IF(U22&gt;=90,-0.25,IF(U22&gt;=75,-0.15,-0.1)),0)+IF(V22&gt;=60,IF(V22&gt;=90,-0.25,IF(V22&gt;=75,-0.15,-0.1)),0))/(IF(O22&gt;=60,1,0)+IF(P22&gt;=60,1,0)+IF(Q22&gt;=60,1,0)+IF(R22&gt;=60,1,0)+IF(S22&gt;=60,1,0)+IF(T22&gt;=60,1,0)+IF(U22&gt;=60,1,0)+IF(V22&gt;=60,1,0)),0)))</f>
        <v/>
      </c>
      <c r="AB22" t="str">
        <f>IF(ISBLANK(B22),"",IF(AND(W22&gt;=3,X22&gt;=0.75),-0.05,0))</f>
        <v/>
      </c>
      <c r="AC22" t="str">
        <f>IF(ISBLANK(B22),"",IFERROR(Y22+Z22,""))</f>
        <v/>
      </c>
      <c r="AD22" t="str">
        <f>IF(ISBLANK(B22),"",IF(AND(ISNUMBER(N22),ISNUMBER(AA22)),N22+AA22,""))</f>
        <v/>
      </c>
      <c r="AE22" t="str">
        <f>IF(ISBLANK(B22),"",IFERROR(IF(ISNUMBER(AB22),IF(AB22&lt;=1.5,1,IF(AB22&lt;=2.5,2,IF(AB22&lt;=3.5,3,IF(AB22&lt;=4.5,4,5)))),""),""))</f>
        <v/>
      </c>
      <c r="AG22" s="34"/>
    </row>
    <row r="23" spans="1:36" ht="15" customHeight="1" x14ac:dyDescent="0.35">
      <c r="A23" s="35">
        <v>37</v>
      </c>
      <c r="B23" s="36" t="s">
        <v>96</v>
      </c>
      <c r="P23" t="str">
        <f t="shared" ref="P23:P34" si="9">IFERROR((IF(ISNUMBER(C23),C23*3,0)+IF(ISNUMBER(D23),D23*3,0)+IF(ISNUMBER(E23),E23*3,0)+IF(ISNUMBER(F23),F23*3,0)+IF(ISNUMBER(G23),G23*3,0)+IF(ISNUMBER(H23),H23*3,0)+IF(ISNUMBER(I23),I23*2,0)+IF(ISNUMBER(J23),J23*2,0)+IF(ISNUMBER(K23),K23*2,0)+IF(ISNUMBER(L23),L23*2,0)+IF(ISNUMBER(M23),M23*2,0)+IF(ISNUMBER(N23),N23*2,0)+IF(ISNUMBER(O23),O23*1,0))/(IF(ISNUMBER(C23),3,0)+IF(ISNUMBER(D23),3,0)+IF(ISNUMBER(E23),3,0)+IF(ISNUMBER(F23),3,0)+IF(ISNUMBER(G23),3,0)+IF(ISNUMBER(H23),3,0)+IF(ISNUMBER(I23),2,0)+IF(ISNUMBER(J23),2,0)+IF(ISNUMBER(K23),2,0)+IF(ISNUMBER(L23),2,0)+IF(ISNUMBER(M23),2,0)+IF(ISNUMBER(N23),2,0)+IF(ISNUMBER(O23),1,0)),"")</f>
        <v/>
      </c>
      <c r="Y23" s="37">
        <f t="shared" ref="Y23:Y34" si="10">IF(ISBLANK(B23),"",COUNTIF(Q23:X23,"&gt;0")+IF(UPPER(AI23)="PODVOD",1,IF(ISNUMBER(AI23),AI23,0)))</f>
        <v>0</v>
      </c>
      <c r="Z23" s="38">
        <f t="shared" ref="Z23:Z34" si="11">IF(ISBLANK(B23),"",IF(Y23=0,0,Y23/$AH$2))</f>
        <v>0</v>
      </c>
      <c r="AA23" s="37">
        <f t="shared" ref="AA23:AA34" si="12">IF(ISBLANK(B23),"",IF(Y23&lt;3,0,IF((IF(ISNUMBER(Q23),IF(Q23&gt;=60,1,0),0)+IF(ISNUMBER(R23),IF(R23&gt;=60,1,0),0)+IF(ISNUMBER(S23),IF(S23&gt;=60,1,0),0)+IF(ISNUMBER(T23),IF(T23&gt;=60,1,0),0)+IF(ISNUMBER(U23),IF(U23&gt;=60,1,0),0)+IF(ISNUMBER(V23),IF(V23&gt;=60,1,0),0)+IF(ISNUMBER(W23),IF(W23&gt;=60,1,0),0)+IF(ISNUMBER(X23),IF(X23&gt;=60,1,0),0))&gt;0,(IF(ISNUMBER(Q23),IF(Q23&gt;=90,-0.25,IF(Q23&gt;=75,-0.15,-0.1)),0)+IF(ISNUMBER(R23),IF(R23&gt;=90,-0.25,IF(R23&gt;=75,-0.15,-0.1)),0)+IF(ISNUMBER(S23),IF(S23&gt;=90,-0.25,IF(S23&gt;=75,-0.15,-0.1)),0)+IF(ISNUMBER(T23),IF(T23&gt;=90,-0.25,IF(T23&gt;=75,-0.15,-0.1)),0)+IF(ISNUMBER(U23),IF(U23&gt;=90,-0.25,IF(U23&gt;=75,-0.15,-0.1)),0)+IF(ISNUMBER(V23),IF(V23&gt;=90,-0.25,IF(V23&gt;=75,-0.15,-0.1)),0)+IF(ISNUMBER(W23),IF(W23&gt;=90,-0.25,IF(W23&gt;=75,-0.15,-0.1)),0)+IF(ISNUMBER(X23),IF(X23&gt;=90,-0.25,IF(X23&gt;=75,-0.15,-0.1)),0))/(IF(ISNUMBER(Q23),IF(Q23&gt;=60,1,0),0)+IF(ISNUMBER(R23),IF(R23&gt;=60,1,0),0)+IF(ISNUMBER(S23),IF(S23&gt;=60,1,0),0)+IF(ISNUMBER(T23),IF(T23&gt;=60,1,0),0)+IF(ISNUMBER(U23),IF(U23&gt;=60,1,0),0)+IF(ISNUMBER(V23),IF(V23&gt;=60,1,0),0)+IF(ISNUMBER(W23),IF(W23&gt;=60,1,0),0)+IF(ISNUMBER(X23),IF(X23&gt;=60,1,0),0)),0)))</f>
        <v>0</v>
      </c>
      <c r="AB23" s="37">
        <f t="shared" ref="AB23:AB34" si="13">IF(ISBLANK(B23),"",IF(AND(Y23&gt;=3,Z23&gt;=0.75),-0.15,0))</f>
        <v>0</v>
      </c>
      <c r="AC23" s="37">
        <f>AA23+AB23+AJ23</f>
        <v>0</v>
      </c>
      <c r="AD23" t="e">
        <f>P23+AC23</f>
        <v>#VALUE!</v>
      </c>
      <c r="AE23" t="str">
        <f t="shared" ref="AE23:AE34" si="14">IF(ISBLANK(B23),"",IFERROR(IF(ISNUMBER(AD23),IF(AD23&lt;=1.5,1,IF(AD23&lt;=2.5,2,IF(AD23&lt;=3.5,3,IF(AD23&lt;=4.5,4,5)))),""),""))</f>
        <v/>
      </c>
      <c r="AG23" s="39"/>
      <c r="AJ23" s="29">
        <f>COUNTIF(Q23:X23,"P")*0</f>
        <v>0</v>
      </c>
    </row>
    <row r="24" spans="1:36" ht="14.25" customHeight="1" x14ac:dyDescent="0.35">
      <c r="A24">
        <v>38</v>
      </c>
      <c r="B24" t="s">
        <v>97</v>
      </c>
      <c r="P24" t="str">
        <f t="shared" si="9"/>
        <v/>
      </c>
      <c r="Y24" s="37">
        <f t="shared" si="10"/>
        <v>0</v>
      </c>
      <c r="Z24" s="38">
        <f t="shared" si="11"/>
        <v>0</v>
      </c>
      <c r="AA24" s="37">
        <f t="shared" si="12"/>
        <v>0</v>
      </c>
      <c r="AB24" s="37">
        <f t="shared" si="13"/>
        <v>0</v>
      </c>
      <c r="AC24" s="37">
        <f>AA24+AB24+AJ24</f>
        <v>0</v>
      </c>
      <c r="AD24" t="e">
        <f>P24+AC24</f>
        <v>#VALUE!</v>
      </c>
      <c r="AE24" t="str">
        <f t="shared" si="14"/>
        <v/>
      </c>
      <c r="AG24" s="40"/>
      <c r="AJ24" s="29">
        <f>COUNTIF(Q24:X24,"P")*0</f>
        <v>0</v>
      </c>
    </row>
    <row r="25" spans="1:36" ht="14.25" customHeight="1" x14ac:dyDescent="0.35">
      <c r="A25">
        <v>39</v>
      </c>
      <c r="B25" t="s">
        <v>98</v>
      </c>
      <c r="P25" t="str">
        <f t="shared" si="9"/>
        <v/>
      </c>
      <c r="Y25" s="37">
        <f t="shared" si="10"/>
        <v>0</v>
      </c>
      <c r="Z25" s="38">
        <f t="shared" si="11"/>
        <v>0</v>
      </c>
      <c r="AA25" s="37">
        <f t="shared" si="12"/>
        <v>0</v>
      </c>
      <c r="AB25" s="37">
        <f t="shared" si="13"/>
        <v>0</v>
      </c>
      <c r="AC25" s="37">
        <f>AA25+AB25+AJ25</f>
        <v>0</v>
      </c>
      <c r="AD25" t="e">
        <f>P25+AC25</f>
        <v>#VALUE!</v>
      </c>
      <c r="AE25" t="str">
        <f t="shared" si="14"/>
        <v/>
      </c>
      <c r="AG25" s="34"/>
      <c r="AJ25" s="29">
        <f>COUNTIF(Q25:X25,"P")*0</f>
        <v>0</v>
      </c>
    </row>
    <row r="26" spans="1:36" ht="14.25" customHeight="1" x14ac:dyDescent="0.35">
      <c r="A26">
        <v>40</v>
      </c>
      <c r="B26" t="s">
        <v>99</v>
      </c>
      <c r="P26" t="str">
        <f t="shared" si="9"/>
        <v/>
      </c>
      <c r="Y26" s="37">
        <f t="shared" si="10"/>
        <v>0</v>
      </c>
      <c r="Z26" s="38">
        <f t="shared" si="11"/>
        <v>0</v>
      </c>
      <c r="AA26" s="37">
        <f t="shared" si="12"/>
        <v>0</v>
      </c>
      <c r="AB26" s="37">
        <f t="shared" si="13"/>
        <v>0</v>
      </c>
      <c r="AC26" s="37">
        <f>AA26+AB26+AJ26</f>
        <v>0</v>
      </c>
      <c r="AD26" t="e">
        <f>P26+AC26</f>
        <v>#VALUE!</v>
      </c>
      <c r="AE26" t="str">
        <f t="shared" si="14"/>
        <v/>
      </c>
      <c r="AG26" s="39"/>
      <c r="AJ26" s="29">
        <f>COUNTIF(Q26:X26,"P")*0</f>
        <v>0</v>
      </c>
    </row>
    <row r="27" spans="1:36" ht="14.25" customHeight="1" x14ac:dyDescent="0.35">
      <c r="A27" s="41">
        <v>41</v>
      </c>
      <c r="B27" s="42" t="s">
        <v>100</v>
      </c>
      <c r="P27" t="str">
        <f t="shared" si="9"/>
        <v/>
      </c>
      <c r="Y27" s="37">
        <f t="shared" si="10"/>
        <v>0</v>
      </c>
      <c r="Z27" s="38">
        <f t="shared" si="11"/>
        <v>0</v>
      </c>
      <c r="AA27" s="37">
        <f t="shared" si="12"/>
        <v>0</v>
      </c>
      <c r="AB27" s="37">
        <f t="shared" si="13"/>
        <v>0</v>
      </c>
      <c r="AC27" s="37">
        <f t="shared" ref="AC27:AC34" si="15">IF(ISBLANK(B27),"",IFERROR(AA27+AB27,""))</f>
        <v>0</v>
      </c>
      <c r="AD27" t="str">
        <f t="shared" ref="AD27:AD34" si="16">IF(ISBLANK(B27),"",IF(AND(ISNUMBER(P27),ISNUMBER(AC27)),P27+AC27+AJ27,""))</f>
        <v/>
      </c>
      <c r="AE27" t="str">
        <f t="shared" si="14"/>
        <v/>
      </c>
      <c r="AG27" s="40"/>
      <c r="AJ27" s="29">
        <f t="shared" ref="AJ27:AJ34" si="17">IF(ISBLANK(B27),"",IF(UPPER(AI27)="PODVOD",0.3,IF(ISNUMBER(AI27),AI27*0.3,0)))</f>
        <v>0</v>
      </c>
    </row>
    <row r="28" spans="1:36" ht="14.25" customHeight="1" x14ac:dyDescent="0.35">
      <c r="A28">
        <v>47</v>
      </c>
      <c r="B28" t="s">
        <v>101</v>
      </c>
      <c r="P28" t="str">
        <f t="shared" si="9"/>
        <v/>
      </c>
      <c r="Y28" s="37">
        <f t="shared" si="10"/>
        <v>0</v>
      </c>
      <c r="Z28" s="38">
        <f t="shared" si="11"/>
        <v>0</v>
      </c>
      <c r="AA28" s="37">
        <f t="shared" si="12"/>
        <v>0</v>
      </c>
      <c r="AB28" s="37">
        <f t="shared" si="13"/>
        <v>0</v>
      </c>
      <c r="AC28" s="37">
        <f t="shared" si="15"/>
        <v>0</v>
      </c>
      <c r="AD28" t="str">
        <f t="shared" si="16"/>
        <v/>
      </c>
      <c r="AE28" t="str">
        <f t="shared" si="14"/>
        <v/>
      </c>
      <c r="AG28" s="34"/>
      <c r="AJ28" s="29">
        <f t="shared" si="17"/>
        <v>0</v>
      </c>
    </row>
    <row r="29" spans="1:36" ht="14.25" customHeight="1" x14ac:dyDescent="0.35">
      <c r="A29" s="43">
        <v>48</v>
      </c>
      <c r="B29" s="44" t="s">
        <v>102</v>
      </c>
      <c r="P29" t="str">
        <f t="shared" si="9"/>
        <v/>
      </c>
      <c r="Y29" s="37">
        <f t="shared" si="10"/>
        <v>0</v>
      </c>
      <c r="Z29" s="38">
        <f t="shared" si="11"/>
        <v>0</v>
      </c>
      <c r="AA29" s="37">
        <f t="shared" si="12"/>
        <v>0</v>
      </c>
      <c r="AB29" s="37">
        <f t="shared" si="13"/>
        <v>0</v>
      </c>
      <c r="AC29" s="37">
        <f t="shared" si="15"/>
        <v>0</v>
      </c>
      <c r="AD29" t="str">
        <f t="shared" si="16"/>
        <v/>
      </c>
      <c r="AE29" t="str">
        <f t="shared" si="14"/>
        <v/>
      </c>
      <c r="AG29" s="39"/>
      <c r="AJ29" s="29">
        <f t="shared" si="17"/>
        <v>0</v>
      </c>
    </row>
    <row r="30" spans="1:36" ht="14.25" customHeight="1" x14ac:dyDescent="0.35">
      <c r="B30" s="44" t="s">
        <v>103</v>
      </c>
      <c r="P30" t="str">
        <f t="shared" si="9"/>
        <v/>
      </c>
      <c r="Y30" s="37">
        <f t="shared" si="10"/>
        <v>0</v>
      </c>
      <c r="Z30" s="38">
        <f t="shared" si="11"/>
        <v>0</v>
      </c>
      <c r="AA30" s="37">
        <f t="shared" si="12"/>
        <v>0</v>
      </c>
      <c r="AB30" s="37">
        <f t="shared" si="13"/>
        <v>0</v>
      </c>
      <c r="AC30" s="37">
        <f t="shared" si="15"/>
        <v>0</v>
      </c>
      <c r="AD30" t="str">
        <f t="shared" si="16"/>
        <v/>
      </c>
      <c r="AE30" t="str">
        <f t="shared" si="14"/>
        <v/>
      </c>
      <c r="AG30" s="40"/>
      <c r="AJ30" s="29">
        <f t="shared" si="17"/>
        <v>0</v>
      </c>
    </row>
    <row r="31" spans="1:36" ht="14.25" customHeight="1" x14ac:dyDescent="0.35">
      <c r="B31" s="44" t="s">
        <v>104</v>
      </c>
      <c r="P31" t="str">
        <f t="shared" si="9"/>
        <v/>
      </c>
      <c r="Y31" s="37">
        <f t="shared" si="10"/>
        <v>0</v>
      </c>
      <c r="Z31" s="38">
        <f t="shared" si="11"/>
        <v>0</v>
      </c>
      <c r="AA31" s="37">
        <f t="shared" si="12"/>
        <v>0</v>
      </c>
      <c r="AB31" s="37">
        <f t="shared" si="13"/>
        <v>0</v>
      </c>
      <c r="AC31" s="37">
        <f t="shared" si="15"/>
        <v>0</v>
      </c>
      <c r="AD31" t="str">
        <f t="shared" si="16"/>
        <v/>
      </c>
      <c r="AE31" t="str">
        <f t="shared" si="14"/>
        <v/>
      </c>
      <c r="AG31" s="34"/>
      <c r="AJ31" s="29">
        <f t="shared" si="17"/>
        <v>0</v>
      </c>
    </row>
    <row r="32" spans="1:36" ht="14.25" customHeight="1" x14ac:dyDescent="0.35">
      <c r="B32" s="44" t="s">
        <v>105</v>
      </c>
      <c r="P32" t="str">
        <f t="shared" si="9"/>
        <v/>
      </c>
      <c r="Y32" s="37">
        <f t="shared" si="10"/>
        <v>0</v>
      </c>
      <c r="Z32" s="38">
        <f t="shared" si="11"/>
        <v>0</v>
      </c>
      <c r="AA32" s="37">
        <f t="shared" si="12"/>
        <v>0</v>
      </c>
      <c r="AB32" s="37">
        <f t="shared" si="13"/>
        <v>0</v>
      </c>
      <c r="AC32" s="37">
        <f t="shared" si="15"/>
        <v>0</v>
      </c>
      <c r="AD32" t="str">
        <f t="shared" si="16"/>
        <v/>
      </c>
      <c r="AE32" t="str">
        <f t="shared" si="14"/>
        <v/>
      </c>
      <c r="AG32" s="39"/>
      <c r="AJ32" s="29">
        <f t="shared" si="17"/>
        <v>0</v>
      </c>
    </row>
    <row r="33" spans="2:36" ht="14.25" customHeight="1" x14ac:dyDescent="0.35">
      <c r="B33" t="s">
        <v>106</v>
      </c>
      <c r="P33" t="str">
        <f t="shared" si="9"/>
        <v/>
      </c>
      <c r="Y33" s="37">
        <f t="shared" si="10"/>
        <v>0</v>
      </c>
      <c r="Z33" s="38">
        <f t="shared" si="11"/>
        <v>0</v>
      </c>
      <c r="AA33" s="37">
        <f t="shared" si="12"/>
        <v>0</v>
      </c>
      <c r="AB33" s="37">
        <f t="shared" si="13"/>
        <v>0</v>
      </c>
      <c r="AC33" s="37">
        <f t="shared" si="15"/>
        <v>0</v>
      </c>
      <c r="AD33" t="str">
        <f t="shared" si="16"/>
        <v/>
      </c>
      <c r="AE33" t="str">
        <f t="shared" si="14"/>
        <v/>
      </c>
      <c r="AG33" s="40"/>
      <c r="AJ33" s="29">
        <f t="shared" si="17"/>
        <v>0</v>
      </c>
    </row>
    <row r="34" spans="2:36" ht="14.25" customHeight="1" x14ac:dyDescent="0.35">
      <c r="B34" s="45" t="s">
        <v>107</v>
      </c>
      <c r="P34" t="str">
        <f t="shared" si="9"/>
        <v/>
      </c>
      <c r="Y34" s="37">
        <f t="shared" si="10"/>
        <v>0</v>
      </c>
      <c r="Z34" s="38">
        <f t="shared" si="11"/>
        <v>0</v>
      </c>
      <c r="AA34" s="37">
        <f t="shared" si="12"/>
        <v>0</v>
      </c>
      <c r="AB34" s="37">
        <f t="shared" si="13"/>
        <v>0</v>
      </c>
      <c r="AC34" s="37">
        <f t="shared" si="15"/>
        <v>0</v>
      </c>
      <c r="AD34" t="str">
        <f t="shared" si="16"/>
        <v/>
      </c>
      <c r="AE34" t="str">
        <f t="shared" si="14"/>
        <v/>
      </c>
      <c r="AG34" s="34"/>
      <c r="AJ34" s="29">
        <f t="shared" si="17"/>
        <v>0</v>
      </c>
    </row>
    <row r="35" spans="2:36" ht="14.25" customHeight="1" x14ac:dyDescent="0.35">
      <c r="B35" s="44"/>
      <c r="AG35" s="39"/>
    </row>
    <row r="36" spans="2:36" ht="14.25" customHeight="1" x14ac:dyDescent="0.35">
      <c r="B36" s="44" t="s">
        <v>108</v>
      </c>
      <c r="F36" s="34"/>
      <c r="AG36" s="40"/>
    </row>
    <row r="37" spans="2:36" ht="14.25" customHeight="1" x14ac:dyDescent="0.35">
      <c r="B37" s="45" t="s">
        <v>109</v>
      </c>
      <c r="F37" s="34"/>
      <c r="AG37" s="40"/>
    </row>
    <row r="38" spans="2:36" ht="14.25" customHeight="1" x14ac:dyDescent="0.35">
      <c r="B38" t="s">
        <v>110</v>
      </c>
      <c r="F38" s="34"/>
      <c r="AG38" s="40"/>
    </row>
    <row r="39" spans="2:36" ht="14.25" customHeight="1" x14ac:dyDescent="0.35">
      <c r="B39" t="s">
        <v>111</v>
      </c>
      <c r="F39" s="34"/>
      <c r="AG39" s="40"/>
    </row>
    <row r="40" spans="2:36" ht="14.25" customHeight="1" x14ac:dyDescent="0.35">
      <c r="F40" s="34"/>
    </row>
    <row r="41" spans="2:36" ht="14.25" customHeight="1" x14ac:dyDescent="0.35">
      <c r="F41" s="34"/>
    </row>
    <row r="42" spans="2:36" ht="14.25" customHeight="1" x14ac:dyDescent="0.35">
      <c r="F42" s="34"/>
    </row>
    <row r="43" spans="2:36" ht="14.25" customHeight="1" x14ac:dyDescent="0.35">
      <c r="F43" s="34"/>
    </row>
    <row r="44" spans="2:36" ht="14.25" customHeight="1" x14ac:dyDescent="0.35">
      <c r="F44" s="34"/>
    </row>
    <row r="45" spans="2:36" ht="14.25" customHeight="1" x14ac:dyDescent="0.35">
      <c r="F45" s="34"/>
    </row>
    <row r="46" spans="2:36" ht="14.25" customHeight="1" x14ac:dyDescent="0.35">
      <c r="F46" s="34"/>
    </row>
    <row r="47" spans="2:36" ht="14.25" customHeight="1" x14ac:dyDescent="0.35">
      <c r="F47" s="34"/>
    </row>
    <row r="48" spans="2:36" ht="14.25" customHeight="1" x14ac:dyDescent="0.35">
      <c r="F48" s="34"/>
    </row>
    <row r="49" spans="6:6" ht="14.25" customHeight="1" x14ac:dyDescent="0.35">
      <c r="F49" s="34"/>
    </row>
    <row r="50" spans="6:6" ht="14.25" customHeight="1" x14ac:dyDescent="0.35">
      <c r="F50" s="34"/>
    </row>
    <row r="51" spans="6:6" ht="14.25" customHeight="1" x14ac:dyDescent="0.35">
      <c r="F51" s="34"/>
    </row>
    <row r="52" spans="6:6" ht="14.25" customHeight="1" x14ac:dyDescent="0.35">
      <c r="F52" s="34"/>
    </row>
    <row r="53" spans="6:6" ht="14.25" customHeight="1" x14ac:dyDescent="0.35">
      <c r="F53" s="34"/>
    </row>
    <row r="54" spans="6:6" ht="14.25" customHeight="1" x14ac:dyDescent="0.35">
      <c r="F54" s="34"/>
    </row>
    <row r="55" spans="6:6" ht="14.25" customHeight="1" x14ac:dyDescent="0.35">
      <c r="F55" s="34"/>
    </row>
  </sheetData>
  <conditionalFormatting sqref="C2:N21">
    <cfRule type="containsText" dxfId="5" priority="6" operator="containsText" text="5">
      <formula>NOT(ISERROR(SEARCH("5",C2)))</formula>
    </cfRule>
    <cfRule type="containsText" dxfId="4" priority="7" operator="containsText" text="N">
      <formula>NOT(ISERROR(SEARCH("N",C2)))</formula>
    </cfRule>
  </conditionalFormatting>
  <conditionalFormatting sqref="O7">
    <cfRule type="containsText" dxfId="3" priority="4" operator="containsText" text="5">
      <formula>NOT(ISERROR(SEARCH("5",O7)))</formula>
    </cfRule>
    <cfRule type="containsText" dxfId="2" priority="5" operator="containsText" text="N">
      <formula>NOT(ISERROR(SEARCH("N",O7)))</formula>
    </cfRule>
  </conditionalFormatting>
  <conditionalFormatting sqref="O16:O17">
    <cfRule type="containsText" dxfId="1" priority="2" operator="containsText" text="5">
      <formula>NOT(ISERROR(SEARCH("5",O16)))</formula>
    </cfRule>
    <cfRule type="containsText" dxfId="0" priority="3" operator="containsText" text="N">
      <formula>NOT(ISERROR(SEARCH("N",O16)))</formula>
    </cfRule>
  </conditionalFormatting>
  <hyperlinks>
    <hyperlink ref="AD17" r:id="rId1" display="mailto:kristyna_ruzickova@student.gymberoun.cz" xr:uid="{00000000-0004-0000-0000-000000000000}"/>
  </hyperlinks>
  <pageMargins left="0.7" right="0.7" top="0.78749999999999998" bottom="0.78749999999999998" header="0.511811023622047" footer="0.511811023622047"/>
  <pageSetup paperSize="9" orientation="portrait" horizontalDpi="300" verticalDpi="30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6SA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Ivan Hynek</cp:lastModifiedBy>
  <cp:revision>0</cp:revision>
  <dcterms:created xsi:type="dcterms:W3CDTF">2026-01-11T11:49:59Z</dcterms:created>
  <dcterms:modified xsi:type="dcterms:W3CDTF">2026-06-18T18:44:20Z</dcterms:modified>
  <dc:language>en-US</dc:language>
</cp:coreProperties>
</file>