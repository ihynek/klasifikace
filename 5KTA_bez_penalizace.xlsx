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5K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Ivan H:
rostlinné orgány
24032026</t>
        </r>
      </text>
    </comment>
    <comment ref="D1" authorId="0">
      <text>
        <r>
          <rPr>
            <sz val="10"/>
            <rFont val="Arial"/>
            <family val="2"/>
          </rPr>
          <t xml:space="preserve">Ivan Hynek:
prokaryota
</t>
        </r>
      </text>
    </comment>
    <comment ref="E1" authorId="0">
      <text>
        <r>
          <rPr>
            <sz val="10"/>
            <rFont val="Arial"/>
            <family val="2"/>
          </rPr>
          <t xml:space="preserve">Ivan Hynek:
řasy
</t>
        </r>
      </text>
    </comment>
    <comment ref="F1" authorId="0">
      <text>
        <r>
          <rPr>
            <sz val="10"/>
            <rFont val="Arial"/>
            <family val="2"/>
          </rPr>
          <t xml:space="preserve">Ivan Hynek:
nahosemenné
</t>
        </r>
      </text>
    </comment>
    <comment ref="I1" authorId="0">
      <text>
        <r>
          <rPr>
            <sz val="10"/>
            <rFont val="Arial"/>
            <family val="2"/>
          </rPr>
          <t xml:space="preserve">Ivan H:
bakterie
17.2.2026
</t>
        </r>
      </text>
    </comment>
    <comment ref="J1" authorId="0">
      <text>
        <r>
          <rPr>
            <sz val="10"/>
            <rFont val="Arial"/>
            <family val="2"/>
          </rPr>
          <t xml:space="preserve">Ivan Hynek:
ROSTLINNÉ ORGÁNY 12.3.</t>
        </r>
      </text>
    </comment>
    <comment ref="K1" authorId="0">
      <text>
        <r>
          <rPr>
            <sz val="10"/>
            <rFont val="Arial"/>
            <family val="2"/>
          </rPr>
          <t xml:space="preserve">Ivan Hynek:
řasy
28.4.2026
</t>
        </r>
      </text>
    </comment>
    <comment ref="L1" authorId="0">
      <text>
        <r>
          <rPr>
            <sz val="10"/>
            <rFont val="Arial"/>
            <family val="2"/>
          </rPr>
          <t xml:space="preserve">Ivan H:
nahosemenné
</t>
        </r>
      </text>
    </comment>
    <comment ref="Q1" authorId="0">
      <text>
        <r>
          <rPr>
            <sz val="10"/>
            <rFont val="Arial"/>
            <family val="2"/>
          </rPr>
          <t xml:space="preserve">Ivan H:
bakterie
</t>
        </r>
      </text>
    </comment>
    <comment ref="R1" authorId="0">
      <text>
        <r>
          <rPr>
            <sz val="10"/>
            <rFont val="Arial"/>
            <family val="2"/>
          </rPr>
          <t xml:space="preserve">Ivan Hynek:
rostlinne organy
</t>
        </r>
      </text>
    </comment>
    <comment ref="S1" authorId="0">
      <text>
        <r>
          <rPr>
            <sz val="10"/>
            <rFont val="Arial"/>
            <family val="2"/>
          </rPr>
          <t xml:space="preserve">Ivan H:
pohyby rostlin
</t>
        </r>
      </text>
    </comment>
    <comment ref="T1" authorId="0">
      <text>
        <r>
          <rPr>
            <sz val="10"/>
            <rFont val="Arial"/>
            <family val="2"/>
          </rPr>
          <t xml:space="preserve">Ivan Hynek:
řasy
</t>
        </r>
      </text>
    </comment>
    <comment ref="U1" authorId="0">
      <text>
        <r>
          <rPr>
            <sz val="10"/>
            <rFont val="Arial"/>
            <family val="2"/>
          </rPr>
          <t xml:space="preserve">Ivan Hynek:
nahosemenné</t>
        </r>
      </text>
    </comment>
  </commentList>
</comments>
</file>

<file path=xl/sharedStrings.xml><?xml version="1.0" encoding="utf-8"?>
<sst xmlns="http://schemas.openxmlformats.org/spreadsheetml/2006/main" count="184" uniqueCount="140">
  <si>
    <t xml:space="preserve">Poř. č.</t>
  </si>
  <si>
    <t xml:space="preserve">Příjmení</t>
  </si>
  <si>
    <t xml:space="preserve">VT1</t>
  </si>
  <si>
    <t xml:space="preserve">VT2</t>
  </si>
  <si>
    <t xml:space="preserve">VT3</t>
  </si>
  <si>
    <t xml:space="preserve">VT4</t>
  </si>
  <si>
    <t xml:space="preserve">VT5</t>
  </si>
  <si>
    <t xml:space="preserve">VT6
</t>
  </si>
  <si>
    <t xml:space="preserve">MT1</t>
  </si>
  <si>
    <t xml:space="preserve">MT2</t>
  </si>
  <si>
    <t xml:space="preserve">MT3</t>
  </si>
  <si>
    <t xml:space="preserve">MT4</t>
  </si>
  <si>
    <t xml:space="preserve">MT5</t>
  </si>
  <si>
    <t xml:space="preserve">MT6
</t>
  </si>
  <si>
    <t xml:space="preserve">LP</t>
  </si>
  <si>
    <t xml:space="preserve">Vážený
průměr</t>
  </si>
  <si>
    <t xml:space="preserve">PL1
(%)</t>
  </si>
  <si>
    <t xml:space="preserve">PL2
(%)</t>
  </si>
  <si>
    <t xml:space="preserve">PL3
(%)</t>
  </si>
  <si>
    <t xml:space="preserve">PL4
(%)</t>
  </si>
  <si>
    <t xml:space="preserve">PL5
(%)</t>
  </si>
  <si>
    <t xml:space="preserve">PL6
(%)</t>
  </si>
  <si>
    <t xml:space="preserve">PL7
(%)</t>
  </si>
  <si>
    <t xml:space="preserve">PL8
(%)</t>
  </si>
  <si>
    <t xml:space="preserve">Počet
PL</t>
  </si>
  <si>
    <t xml:space="preserve">%
PL</t>
  </si>
  <si>
    <t xml:space="preserve">Průměr
bonusů</t>
  </si>
  <si>
    <t xml:space="preserve">Bonus
75%+</t>
  </si>
  <si>
    <t xml:space="preserve">Celkový
bonus</t>
  </si>
  <si>
    <t xml:space="preserve">Finální
průměr</t>
  </si>
  <si>
    <t xml:space="preserve">ZNÁMKA</t>
  </si>
  <si>
    <t xml:space="preserve">email</t>
  </si>
  <si>
    <t xml:space="preserve">PIN</t>
  </si>
  <si>
    <t xml:space="preserve">Zadaných
PL</t>
  </si>
  <si>
    <t xml:space="preserve">PODVOD
(zadej slovem)</t>
  </si>
  <si>
    <t xml:space="preserve">Penalizace
(+0.2)</t>
  </si>
  <si>
    <t xml:space="preserve">Julie Andielová</t>
  </si>
  <si>
    <t xml:space="preserve">N</t>
  </si>
  <si>
    <t xml:space="preserve">3386</t>
  </si>
  <si>
    <t xml:space="preserve">Jan Bartek</t>
  </si>
  <si>
    <t xml:space="preserve">jan_bartek@student.gymberoun.cz</t>
  </si>
  <si>
    <t xml:space="preserve">8528</t>
  </si>
  <si>
    <t xml:space="preserve">Ondřej Bielčik</t>
  </si>
  <si>
    <t xml:space="preserve">ondrej_bielcik@student.gymberoun.cz</t>
  </si>
  <si>
    <t xml:space="preserve">8453</t>
  </si>
  <si>
    <t xml:space="preserve">Barbora Bohátková</t>
  </si>
  <si>
    <t xml:space="preserve">barbora_bohatkova@student.gymberoun.cz</t>
  </si>
  <si>
    <t xml:space="preserve">3863</t>
  </si>
  <si>
    <t xml:space="preserve">Aleksander Bořil</t>
  </si>
  <si>
    <t xml:space="preserve">aleksander_boril@student.gymberoun.cz</t>
  </si>
  <si>
    <t xml:space="preserve">7439</t>
  </si>
  <si>
    <t xml:space="preserve">Kateřina Brodecká</t>
  </si>
  <si>
    <t xml:space="preserve">katerina_brodecka@student.gymberoun.cz</t>
  </si>
  <si>
    <t xml:space="preserve">6730</t>
  </si>
  <si>
    <t xml:space="preserve">Olívie Janušková</t>
  </si>
  <si>
    <t xml:space="preserve">olivie_januskova@student.gymberoun.cz</t>
  </si>
  <si>
    <t xml:space="preserve">8102</t>
  </si>
  <si>
    <t xml:space="preserve">Albert Jeránek</t>
  </si>
  <si>
    <t xml:space="preserve">albert_jeranek@student.gymberoun.cz</t>
  </si>
  <si>
    <t xml:space="preserve">9304</t>
  </si>
  <si>
    <t xml:space="preserve">Tobiáš Kaplan</t>
  </si>
  <si>
    <t xml:space="preserve">tobias_kaplan@student.gymberoun.cz</t>
  </si>
  <si>
    <t xml:space="preserve">2801</t>
  </si>
  <si>
    <t xml:space="preserve">Karolína Keprtová</t>
  </si>
  <si>
    <t xml:space="preserve">karolina_keprtova@student.gymberoun.cz</t>
  </si>
  <si>
    <t xml:space="preserve">9731</t>
  </si>
  <si>
    <t xml:space="preserve">Jáchym Kolman</t>
  </si>
  <si>
    <t xml:space="preserve">P</t>
  </si>
  <si>
    <t xml:space="preserve">jachym_kolman@student.gymberoun.cz</t>
  </si>
  <si>
    <t xml:space="preserve">2987</t>
  </si>
  <si>
    <t xml:space="preserve">Lukáš Konvalinka</t>
  </si>
  <si>
    <t xml:space="preserve">lukas_konvalinka@student.gymberoun.cz</t>
  </si>
  <si>
    <t xml:space="preserve">2313</t>
  </si>
  <si>
    <t xml:space="preserve">Jakub Máca</t>
  </si>
  <si>
    <t xml:space="preserve">jakub_maca@student.gymberoun.cz</t>
  </si>
  <si>
    <t xml:space="preserve">8470</t>
  </si>
  <si>
    <t xml:space="preserve">Barbora Meszárošová</t>
  </si>
  <si>
    <t xml:space="preserve">barbora_meszarosova@student.gymberoun.cz</t>
  </si>
  <si>
    <t xml:space="preserve">5315</t>
  </si>
  <si>
    <t xml:space="preserve">Jarmila Mutlová</t>
  </si>
  <si>
    <t xml:space="preserve">jarmila_mutlova@student.gymberoun.cz</t>
  </si>
  <si>
    <t xml:space="preserve">1784</t>
  </si>
  <si>
    <t xml:space="preserve">Michal Polovinčák</t>
  </si>
  <si>
    <t xml:space="preserve">michal_polovincak@student.gymberoun.cz</t>
  </si>
  <si>
    <t xml:space="preserve">4350</t>
  </si>
  <si>
    <t xml:space="preserve">Marie Povolná</t>
  </si>
  <si>
    <t xml:space="preserve">marie-anna_povolna@student.gymberoun.cz</t>
  </si>
  <si>
    <t xml:space="preserve">6494</t>
  </si>
  <si>
    <t xml:space="preserve">Jan Rúta</t>
  </si>
  <si>
    <t xml:space="preserve">jan_ruta@student.gymberoun.cz</t>
  </si>
  <si>
    <t xml:space="preserve">4763</t>
  </si>
  <si>
    <t xml:space="preserve">Dominik Svatoš</t>
  </si>
  <si>
    <t xml:space="preserve">dominik_svatos@student.gymberoun.cz</t>
  </si>
  <si>
    <t xml:space="preserve">6069</t>
  </si>
  <si>
    <t xml:space="preserve">Kryštof Svoboda</t>
  </si>
  <si>
    <t xml:space="preserve">krystof_svoboda@student.gymberoun.cz</t>
  </si>
  <si>
    <t xml:space="preserve">4340</t>
  </si>
  <si>
    <t xml:space="preserve">Adéla Silhava</t>
  </si>
  <si>
    <t xml:space="preserve">adela_silhava@student.gymberoun.cz</t>
  </si>
  <si>
    <t xml:space="preserve">3923</t>
  </si>
  <si>
    <t xml:space="preserve">Václav Šopík</t>
  </si>
  <si>
    <t xml:space="preserve">vaclav-leonard_sopik@student.gymberoun.cz</t>
  </si>
  <si>
    <t xml:space="preserve">3307</t>
  </si>
  <si>
    <t xml:space="preserve">Lukáš Tóth</t>
  </si>
  <si>
    <t xml:space="preserve">lukas_toth@student.gymberoun.cz</t>
  </si>
  <si>
    <t xml:space="preserve">4089</t>
  </si>
  <si>
    <t xml:space="preserve">Daniela Turková</t>
  </si>
  <si>
    <t xml:space="preserve">daniela_turkova@student.gymberoun.cz</t>
  </si>
  <si>
    <t xml:space="preserve">6685</t>
  </si>
  <si>
    <t xml:space="preserve">Barbora Vaňková</t>
  </si>
  <si>
    <t xml:space="preserve">barbora_vankova@student.gymberoun.cz</t>
  </si>
  <si>
    <t xml:space="preserve">7063</t>
  </si>
  <si>
    <t xml:space="preserve">Štěpánka Voldánová</t>
  </si>
  <si>
    <t xml:space="preserve">stepanka_voldanova@student.gymberoun.cz</t>
  </si>
  <si>
    <t xml:space="preserve">7712</t>
  </si>
  <si>
    <t xml:space="preserve">Anna Vrbská</t>
  </si>
  <si>
    <t xml:space="preserve">anna_vrbska@student.gymberoun.cz</t>
  </si>
  <si>
    <t xml:space="preserve">4454</t>
  </si>
  <si>
    <t xml:space="preserve">Robert Zoch</t>
  </si>
  <si>
    <t xml:space="preserve">robert_zoch@student.gymberoun.cz</t>
  </si>
  <si>
    <t xml:space="preserve">7603</t>
  </si>
  <si>
    <t xml:space="preserve">LEGENDA A PRAVIDLA:</t>
  </si>
  <si>
    <t xml:space="preserve">Pokud student neudělal žádné PL:</t>
  </si>
  <si>
    <t xml:space="preserve">• Celkový bonus = 0</t>
  </si>
  <si>
    <t xml:space="preserve">• Finální průměr = Vážený průměr (bez bonusů)</t>
  </si>
  <si>
    <t xml:space="preserve">• Známka se normálně vypočítá</t>
  </si>
  <si>
    <t xml:space="preserve">Bonusy z praktických listů (hodnotí se jen aktuálně zadané PL):</t>
  </si>
  <si>
    <t xml:space="preserve">• 90-100%: -0.25</t>
  </si>
  <si>
    <t xml:space="preserve">• 75-89%: -0.15</t>
  </si>
  <si>
    <t xml:space="preserve">• 60-74%: -0.1</t>
  </si>
  <si>
    <t xml:space="preserve">• Výsledky 0 % se nepočítají jako odevzdaná práce</t>
  </si>
  <si>
    <t xml:space="preserve">Bonus za konzistenci (platí od 3. odevzdané práce):</t>
  </si>
  <si>
    <t xml:space="preserve">• Odevzdáš ≥75 % zadaných PL → extra -0.15</t>
  </si>
  <si>
    <t xml:space="preserve">Penalizace za opisování (PODVOD):</t>
  </si>
  <si>
    <t xml:space="preserve">• Do buňky PL napiš: P (= podvod)</t>
  </si>
  <si>
    <t xml:space="preserve">• Platí pro opisujícího I pro toho, kdo práci poskytl</t>
  </si>
  <si>
    <t xml:space="preserve">• Do PL buňky napiš "P" = podvod → odebírá -0.2 za každý případ od celkového bonusu</t>
  </si>
  <si>
    <t xml:space="preserve">• Příklad: 2× P = -0.4, 3× P = -0.6, 4× P = -0.8, 5× P = -1.0</t>
  </si>
  <si>
    <t xml:space="preserve">• P se počítá jako odevzdaná práce (vstupuje do jmenovatele konzistenčního bonusu)</t>
  </si>
  <si>
    <t xml:space="preserve">• P nedává žádný bonus (0 % = žádný příspěvek k průměru bonusů)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</si>
</sst>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.00"/>
    <numFmt numFmtId="167" formatCode="0"/>
    <numFmt numFmtId="168" formatCode="General"/>
    <numFmt numFmtId="169" formatCode="0%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2"/>
      <charset val="238"/>
    </font>
    <font>
      <b val="true"/>
      <sz val="10"/>
      <color rgb="FF000000"/>
      <name val="Calibri"/>
      <family val="2"/>
      <charset val="238"/>
    </font>
    <font>
      <b val="true"/>
      <sz val="9"/>
      <name val="Calibri"/>
      <family val="2"/>
      <charset val="238"/>
    </font>
    <font>
      <b val="true"/>
      <sz val="9"/>
      <color rgb="FFFFFFFF"/>
      <name val="Calibri"/>
      <family val="2"/>
      <charset val="238"/>
    </font>
    <font>
      <b val="true"/>
      <sz val="11"/>
      <color rgb="FFFFFFFF"/>
      <name val="Calibri"/>
      <family val="2"/>
      <charset val="238"/>
    </font>
    <font>
      <sz val="11"/>
      <color rgb="FF9C5700"/>
      <name val="Calibri"/>
      <family val="2"/>
      <charset val="238"/>
    </font>
    <font>
      <b val="true"/>
      <sz val="12"/>
      <color rgb="FFFFFFFF"/>
      <name val="Calibri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Cambria"/>
      <family val="0"/>
      <charset val="1"/>
    </font>
    <font>
      <b val="true"/>
      <i val="true"/>
      <sz val="11"/>
      <color rgb="FF00B050"/>
      <name val="Calibri"/>
      <family val="2"/>
      <charset val="1"/>
    </font>
    <font>
      <b val="true"/>
      <sz val="11"/>
      <name val="Calibri"/>
      <family val="2"/>
      <charset val="238"/>
    </font>
    <font>
      <b val="true"/>
      <sz val="11"/>
      <color rgb="FF0070C0"/>
      <name val="Calibri"/>
      <family val="2"/>
      <charset val="238"/>
    </font>
    <font>
      <b val="true"/>
      <sz val="11"/>
      <color rgb="FF00B050"/>
      <name val="Calibri"/>
      <family val="2"/>
      <charset val="238"/>
    </font>
    <font>
      <b val="true"/>
      <sz val="10"/>
      <name val="Calibri"/>
      <family val="2"/>
      <charset val="238"/>
    </font>
    <font>
      <b val="true"/>
      <sz val="14"/>
      <name val="Calibri"/>
      <family val="2"/>
      <charset val="238"/>
    </font>
    <font>
      <sz val="11"/>
      <color rgb="FF000000"/>
      <name val="Calibri"/>
      <family val="2"/>
      <charset val="238"/>
    </font>
    <font>
      <b val="true"/>
      <sz val="14"/>
      <color rgb="FFFF0000"/>
      <name val="Calibri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4472C4"/>
      <name val="Calibri"/>
      <family val="2"/>
      <charset val="238"/>
    </font>
    <font>
      <sz val="11"/>
      <color theme="0"/>
      <name val="Calibri"/>
      <family val="2"/>
      <charset val="1"/>
    </font>
    <font>
      <sz val="11"/>
      <color rgb="FF00B050"/>
      <name val="Calibri"/>
      <family val="2"/>
      <charset val="238"/>
    </font>
    <font>
      <sz val="11"/>
      <color rgb="FF006100"/>
      <name val="Calibri"/>
      <family val="2"/>
      <charset val="238"/>
    </font>
    <font>
      <b val="true"/>
      <sz val="11"/>
      <name val="Cambria"/>
      <family val="0"/>
      <charset val="1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C65911"/>
        <bgColor rgb="FF9C5700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969696"/>
      </patternFill>
    </fill>
    <fill>
      <patternFill patternType="solid">
        <fgColor rgb="FFB4C7E7"/>
        <bgColor rgb="FF9BC2E6"/>
      </patternFill>
    </fill>
    <fill>
      <patternFill patternType="solid">
        <fgColor rgb="FF9BC2E6"/>
        <bgColor rgb="FFB4C7E7"/>
      </patternFill>
    </fill>
    <fill>
      <patternFill patternType="solid">
        <fgColor rgb="FF00B050"/>
        <bgColor rgb="FF008080"/>
      </patternFill>
    </fill>
    <fill>
      <patternFill patternType="solid">
        <fgColor rgb="FF0070C0"/>
        <bgColor rgb="FF008080"/>
      </patternFill>
    </fill>
    <fill>
      <patternFill patternType="solid">
        <fgColor rgb="FFFFEB9C"/>
        <bgColor rgb="FFE2EFDA"/>
      </patternFill>
    </fill>
    <fill>
      <patternFill patternType="solid">
        <fgColor rgb="FFD9E1F2"/>
        <bgColor rgb="FFE2EFDA"/>
      </patternFill>
    </fill>
    <fill>
      <patternFill patternType="solid">
        <fgColor rgb="FFC00000"/>
        <bgColor rgb="FF9C0006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5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6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7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8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FFFFFF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2F2F2"/>
      <rgbColor rgb="FFCCFFFF"/>
      <rgbColor rgb="FF660066"/>
      <rgbColor rgb="FFFF8080"/>
      <rgbColor rgb="FF0070C0"/>
      <rgbColor rgb="FFD9E1F2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E2EFDA"/>
      <rgbColor rgb="FFFFEB9C"/>
      <rgbColor rgb="FF9BC2E6"/>
      <rgbColor rgb="FFFF99CC"/>
      <rgbColor rgb="FFCC99FF"/>
      <rgbColor rgb="FFFFC7CE"/>
      <rgbColor rgb="FF4472C4"/>
      <rgbColor rgb="FF33CCCC"/>
      <rgbColor rgb="FF92D050"/>
      <rgbColor rgb="FFFFC000"/>
      <rgbColor rgb="FFFF9900"/>
      <rgbColor rgb="FFC65911"/>
      <rgbColor rgb="FF666699"/>
      <rgbColor rgb="FF969696"/>
      <rgbColor rgb="FF003366"/>
      <rgbColor rgb="FF00B050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marie-anna_povolna@student.gymberoun.cz" TargetMode="External"/><Relationship Id="rId3" Type="http://schemas.openxmlformats.org/officeDocument/2006/relationships/hyperlink" Target="mailto:vaclav-leonard_sopik@student.gymberoun.cz" TargetMode="External"/><Relationship Id="rId4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" activeCellId="0" sqref="N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12" min="3" style="0" width="5"/>
    <col collapsed="false" customWidth="true" hidden="false" outlineLevel="0" max="13" min="13" style="0" width="6.54"/>
    <col collapsed="false" customWidth="true" hidden="false" outlineLevel="0" max="21" min="14" style="0" width="6"/>
    <col collapsed="false" customWidth="true" hidden="false" outlineLevel="0" max="23" min="22" style="0" width="7"/>
    <col collapsed="false" customWidth="true" hidden="false" outlineLevel="0" max="24" min="24" style="0" width="9"/>
    <col collapsed="false" customWidth="true" hidden="false" outlineLevel="0" max="26" min="25" style="0" width="8"/>
    <col collapsed="false" customWidth="true" hidden="false" outlineLevel="0" max="28" min="27" style="0" width="9"/>
    <col collapsed="false" customWidth="true" hidden="false" outlineLevel="0" max="30" min="30" style="0" width="9.45"/>
    <col collapsed="false" customWidth="true" hidden="false" outlineLevel="0" max="32" min="32" style="0" width="42.54"/>
    <col collapsed="false" customWidth="true" hidden="true" outlineLevel="0" max="33" min="33" style="0" width="5.73"/>
    <col collapsed="false" customWidth="true" hidden="true" outlineLevel="0" max="34" min="34" style="0" width="9.09"/>
    <col collapsed="false" customWidth="false" hidden="true" outlineLevel="0" max="36" min="35" style="0" width="8.63"/>
    <col collapsed="false" customWidth="true" hidden="false" outlineLevel="0" max="38" min="38" style="0" width="15.82"/>
    <col collapsed="false" customWidth="true" hidden="false" outlineLevel="0" max="39" min="39" style="0" width="40.54"/>
  </cols>
  <sheetData>
    <row r="1" customFormat="false" ht="30" hidden="false" customHeight="tru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6" t="s">
        <v>14</v>
      </c>
      <c r="P1" s="7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7" t="s">
        <v>24</v>
      </c>
      <c r="Z1" s="7" t="s">
        <v>25</v>
      </c>
      <c r="AA1" s="7" t="s">
        <v>26</v>
      </c>
      <c r="AB1" s="9" t="s">
        <v>27</v>
      </c>
      <c r="AC1" s="7" t="s">
        <v>28</v>
      </c>
      <c r="AD1" s="10" t="s">
        <v>29</v>
      </c>
      <c r="AE1" s="11" t="s">
        <v>30</v>
      </c>
      <c r="AF1" s="12" t="s">
        <v>31</v>
      </c>
      <c r="AG1" s="13" t="s">
        <v>32</v>
      </c>
      <c r="AH1" s="14" t="s">
        <v>33</v>
      </c>
      <c r="AI1" s="15" t="s">
        <v>34</v>
      </c>
      <c r="AJ1" s="15" t="s">
        <v>35</v>
      </c>
    </row>
    <row r="2" customFormat="false" ht="18" hidden="false" customHeight="true" outlineLevel="0" collapsed="false">
      <c r="A2" s="16" t="n">
        <v>1</v>
      </c>
      <c r="B2" s="17" t="s">
        <v>36</v>
      </c>
      <c r="C2" s="16" t="n">
        <v>2</v>
      </c>
      <c r="D2" s="16" t="s">
        <v>37</v>
      </c>
      <c r="E2" s="16" t="s">
        <v>37</v>
      </c>
      <c r="F2" s="16" t="n">
        <v>1</v>
      </c>
      <c r="G2" s="16"/>
      <c r="H2" s="16"/>
      <c r="I2" s="16" t="n">
        <v>1</v>
      </c>
      <c r="J2" s="16" t="s">
        <v>37</v>
      </c>
      <c r="K2" s="16" t="n">
        <v>1</v>
      </c>
      <c r="L2" s="16" t="n">
        <v>1</v>
      </c>
      <c r="M2" s="16"/>
      <c r="N2" s="16"/>
      <c r="O2" s="18"/>
      <c r="P2" s="19" t="n">
        <f aca="false">IFERROR((IF(ISNUMBER(C2),C2*3,0)+IF(ISNUMBER(D2),D2*3,0)+IF(ISNUMBER(E2),E2*3,0)+IF(ISNUMBER(F2),F2*3,0)+IF(ISNUMBER(G2),G2*3,0)+IF(ISNUMBER(H2),H2*3,0)+IF(ISNUMBER(I2),I2*2,0)+IF(ISNUMBER(J2),J2*2,0)+IF(ISNUMBER(K2),K2*2,0)+IF(ISNUMBER(L2),L2*2,0)+IF(ISNUMBER(M2),M2*2,0)+IF(ISNUMBER(N2),N2*2,0)+IF(ISNUMBER(O2),O2*1,0))/(IF(ISNUMBER(C2),3,0)+IF(ISNUMBER(D2),3,0)+IF(ISNUMBER(E2),3,0)+IF(ISNUMBER(F2),3,0)+IF(ISNUMBER(G2),3,0)+IF(ISNUMBER(H2),3,0)+IF(ISNUMBER(I2),2,0)+IF(ISNUMBER(J2),2,0)+IF(ISNUMBER(K2),2,0)+IF(ISNUMBER(L2),2,0)+IF(ISNUMBER(M2),2,0)+IF(ISNUMBER(N2),2,0)+IF(ISNUMBER(O2),1,0)),"")</f>
        <v>1.25</v>
      </c>
      <c r="Q2" s="20" t="n">
        <v>100</v>
      </c>
      <c r="R2" s="20" t="n">
        <v>94</v>
      </c>
      <c r="S2" s="20"/>
      <c r="T2" s="20" t="n">
        <v>89</v>
      </c>
      <c r="U2" s="20"/>
      <c r="V2" s="20"/>
      <c r="W2" s="20"/>
      <c r="X2" s="20"/>
      <c r="Y2" s="21" t="n">
        <f aca="false">IF(ISBLANK(B2),"",COUNTIF(Q2:X2,"&gt;0")+IF(UPPER(AI2)="PODVOD",1,IF(ISNUMBER(AI2),AI2,0)))</f>
        <v>3</v>
      </c>
      <c r="Z2" s="22" t="n">
        <f aca="false">IF(ISBLANK(B2),"",IF(Y2=0,0,Y2/$AH$2))</f>
        <v>0.75</v>
      </c>
      <c r="AA2" s="23" t="n">
        <f aca="false">IF(ISBLANK(B2),"",IF(Y2&lt;3,0,IF((IF(ISNUMBER(Q2),IF(Q2&gt;=60,1,0),0)+IF(ISNUMBER(R2),IF(R2&gt;=60,1,0),0)+IF(ISNUMBER(S2),IF(S2&gt;=60,1,0),0)+IF(ISNUMBER(T2),IF(T2&gt;=60,1,0),0)+IF(ISNUMBER(U2),IF(U2&gt;=60,1,0),0)+IF(ISNUMBER(V2),IF(V2&gt;=60,1,0),0)+IF(ISNUMBER(W2),IF(W2&gt;=60,1,0),0)+IF(ISNUMBER(X2),IF(X2&gt;=60,1,0),0))&gt;0,(IF(ISNUMBER(Q2),IF(Q2&gt;=90,-0.25,IF(Q2&gt;=75,-0.15,-0.1)),0)+IF(ISNUMBER(R2),IF(R2&gt;=90,-0.25,IF(R2&gt;=75,-0.15,-0.1)),0)+IF(ISNUMBER(S2),IF(S2&gt;=90,-0.25,IF(S2&gt;=75,-0.15,-0.1)),0)+IF(ISNUMBER(T2),IF(T2&gt;=90,-0.25,IF(T2&gt;=75,-0.15,-0.1)),0)+IF(ISNUMBER(U2),IF(U2&gt;=90,-0.25,IF(U2&gt;=75,-0.15,-0.1)),0)+IF(ISNUMBER(V2),IF(V2&gt;=90,-0.25,IF(V2&gt;=75,-0.15,-0.1)),0)+IF(ISNUMBER(W2),IF(W2&gt;=90,-0.25,IF(W2&gt;=75,-0.15,-0.1)),0)+IF(ISNUMBER(X2),IF(X2&gt;=90,-0.25,IF(X2&gt;=75,-0.15,-0.1)),0))/(IF(ISNUMBER(Q2),IF(Q2&gt;=60,1,0),0)+IF(ISNUMBER(R2),IF(R2&gt;=60,1,0),0)+IF(ISNUMBER(S2),IF(S2&gt;=60,1,0),0)+IF(ISNUMBER(T2),IF(T2&gt;=60,1,0),0)+IF(ISNUMBER(U2),IF(U2&gt;=60,1,0),0)+IF(ISNUMBER(V2),IF(V2&gt;=60,1,0),0)+IF(ISNUMBER(W2),IF(W2&gt;=60,1,0),0)+IF(ISNUMBER(X2),IF(X2&gt;=60,1,0),0)),0)))</f>
        <v>-0.216666666666667</v>
      </c>
      <c r="AB2" s="24" t="n">
        <f aca="false">IF(ISBLANK(B2),"",IF(AND(Y2&gt;=3,Z2&gt;=0.75),-0.15,0))</f>
        <v>-0.15</v>
      </c>
      <c r="AC2" s="25" t="n">
        <f aca="false">AA2+AB2</f>
        <v>-0.366666666666667</v>
      </c>
      <c r="AD2" s="23" t="n">
        <f aca="false">P2+AC2</f>
        <v>0.883333333333333</v>
      </c>
      <c r="AE2" s="26" t="n">
        <f aca="false">IF(ISBLANK(B2),"",IFERROR(IF(ISNUMBER(AD2),IF(AD2&lt;=1.5,1,IF(AD2&lt;=2.5,2,IF(AD2&lt;=3.5,3,IF(AD2&lt;=4.5,4,5)))),""),""))</f>
        <v>1</v>
      </c>
      <c r="AF2" s="27"/>
      <c r="AG2" s="28" t="s">
        <v>38</v>
      </c>
      <c r="AH2" s="29" t="n">
        <f aca="false">(COUNT(Q2:Q200)&gt;0)+(COUNT(R2:R200)&gt;0)+(COUNT(S2:S200)&gt;0)+(COUNT(T2:T200)&gt;0)+(COUNT(U2:U200)&gt;0)+(COUNT(V2:V200)&gt;0)+(COUNT(W2:W200)&gt;0)+(COUNT(X2:X200)&gt;0)</f>
        <v>4</v>
      </c>
      <c r="AI2" s="30"/>
      <c r="AJ2" s="31" t="n">
        <f aca="false">COUNTIF(Q2:X2,"P")*0.2</f>
        <v>0</v>
      </c>
    </row>
    <row r="3" customFormat="false" ht="18" hidden="false" customHeight="true" outlineLevel="0" collapsed="false">
      <c r="A3" s="16" t="n">
        <v>2</v>
      </c>
      <c r="B3" s="17" t="s">
        <v>39</v>
      </c>
      <c r="C3" s="16" t="s">
        <v>37</v>
      </c>
      <c r="D3" s="16" t="n">
        <v>1</v>
      </c>
      <c r="E3" s="16" t="n">
        <v>1</v>
      </c>
      <c r="F3" s="16" t="n">
        <v>1</v>
      </c>
      <c r="G3" s="16"/>
      <c r="H3" s="16"/>
      <c r="I3" s="16" t="n">
        <v>1</v>
      </c>
      <c r="J3" s="16" t="n">
        <v>1</v>
      </c>
      <c r="K3" s="16" t="n">
        <v>1</v>
      </c>
      <c r="L3" s="16" t="n">
        <v>1</v>
      </c>
      <c r="M3" s="16"/>
      <c r="N3" s="16"/>
      <c r="O3" s="18"/>
      <c r="P3" s="19" t="n">
        <f aca="false">IFERROR((IF(ISNUMBER(C3),C3*3,0)+IF(ISNUMBER(D3),D3*3,0)+IF(ISNUMBER(E3),E3*3,0)+IF(ISNUMBER(F3),F3*3,0)+IF(ISNUMBER(G3),G3*3,0)+IF(ISNUMBER(H3),H3*3,0)+IF(ISNUMBER(I3),I3*2,0)+IF(ISNUMBER(J3),J3*2,0)+IF(ISNUMBER(K3),K3*2,0)+IF(ISNUMBER(L3),L3*2,0)+IF(ISNUMBER(M3),M3*2,0)+IF(ISNUMBER(N3),N3*2,0)+IF(ISNUMBER(O3),O3*1,0))/(IF(ISNUMBER(C3),3,0)+IF(ISNUMBER(D3),3,0)+IF(ISNUMBER(E3),3,0)+IF(ISNUMBER(F3),3,0)+IF(ISNUMBER(G3),3,0)+IF(ISNUMBER(H3),3,0)+IF(ISNUMBER(I3),2,0)+IF(ISNUMBER(J3),2,0)+IF(ISNUMBER(K3),2,0)+IF(ISNUMBER(L3),2,0)+IF(ISNUMBER(M3),2,0)+IF(ISNUMBER(N3),2,0)+IF(ISNUMBER(O3),1,0)),"")</f>
        <v>1</v>
      </c>
      <c r="Q3" s="20"/>
      <c r="R3" s="20"/>
      <c r="S3" s="20"/>
      <c r="T3" s="20"/>
      <c r="U3" s="20"/>
      <c r="V3" s="20"/>
      <c r="W3" s="20"/>
      <c r="X3" s="20"/>
      <c r="Y3" s="21" t="n">
        <f aca="false">IF(ISBLANK(B3),"",COUNTIF(Q3:X3,"&gt;0")+IF(UPPER(AI3)="PODVOD",1,IF(ISNUMBER(AI3),AI3,0)))</f>
        <v>0</v>
      </c>
      <c r="Z3" s="22" t="n">
        <f aca="false">IF(ISBLANK(B3),"",IF(Y3=0,0,Y3/$AH$2))</f>
        <v>0</v>
      </c>
      <c r="AA3" s="23" t="n">
        <f aca="false">IF(ISBLANK(B3),"",IF(Y3&lt;3,0,IF((IF(ISNUMBER(Q3),IF(Q3&gt;=60,1,0),0)+IF(ISNUMBER(R3),IF(R3&gt;=60,1,0),0)+IF(ISNUMBER(S3),IF(S3&gt;=60,1,0),0)+IF(ISNUMBER(T3),IF(T3&gt;=60,1,0),0)+IF(ISNUMBER(U3),IF(U3&gt;=60,1,0),0)+IF(ISNUMBER(V3),IF(V3&gt;=60,1,0),0)+IF(ISNUMBER(W3),IF(W3&gt;=60,1,0),0)+IF(ISNUMBER(X3),IF(X3&gt;=60,1,0),0))&gt;0,(IF(ISNUMBER(Q3),IF(Q3&gt;=90,-0.25,IF(Q3&gt;=75,-0.15,-0.1)),0)+IF(ISNUMBER(R3),IF(R3&gt;=90,-0.25,IF(R3&gt;=75,-0.15,-0.1)),0)+IF(ISNUMBER(S3),IF(S3&gt;=90,-0.25,IF(S3&gt;=75,-0.15,-0.1)),0)+IF(ISNUMBER(T3),IF(T3&gt;=90,-0.25,IF(T3&gt;=75,-0.15,-0.1)),0)+IF(ISNUMBER(U3),IF(U3&gt;=90,-0.25,IF(U3&gt;=75,-0.15,-0.1)),0)+IF(ISNUMBER(V3),IF(V3&gt;=90,-0.25,IF(V3&gt;=75,-0.15,-0.1)),0)+IF(ISNUMBER(W3),IF(W3&gt;=90,-0.25,IF(W3&gt;=75,-0.15,-0.1)),0)+IF(ISNUMBER(X3),IF(X3&gt;=90,-0.25,IF(X3&gt;=75,-0.15,-0.1)),0))/(IF(ISNUMBER(Q3),IF(Q3&gt;=60,1,0),0)+IF(ISNUMBER(R3),IF(R3&gt;=60,1,0),0)+IF(ISNUMBER(S3),IF(S3&gt;=60,1,0),0)+IF(ISNUMBER(T3),IF(T3&gt;=60,1,0),0)+IF(ISNUMBER(U3),IF(U3&gt;=60,1,0),0)+IF(ISNUMBER(V3),IF(V3&gt;=60,1,0),0)+IF(ISNUMBER(W3),IF(W3&gt;=60,1,0),0)+IF(ISNUMBER(X3),IF(X3&gt;=60,1,0),0)),0)))</f>
        <v>0</v>
      </c>
      <c r="AB3" s="24" t="n">
        <f aca="false">IF(ISBLANK(B3),"",IF(AND(Y3&gt;=3,Z3&gt;=0.75),-0.15,0))</f>
        <v>0</v>
      </c>
      <c r="AC3" s="25" t="n">
        <f aca="false">AA3+AB3</f>
        <v>0</v>
      </c>
      <c r="AD3" s="23" t="n">
        <f aca="false">P3+AC3</f>
        <v>1</v>
      </c>
      <c r="AE3" s="26" t="n">
        <f aca="false">IF(ISBLANK(B3),"",IFERROR(IF(ISNUMBER(AD3),IF(AD3&lt;=1.5,1,IF(AD3&lt;=2.5,2,IF(AD3&lt;=3.5,3,IF(AD3&lt;=4.5,4,5)))),""),""))</f>
        <v>1</v>
      </c>
      <c r="AF3" s="27" t="s">
        <v>40</v>
      </c>
      <c r="AG3" s="32" t="s">
        <v>41</v>
      </c>
      <c r="AH3" s="33"/>
      <c r="AI3" s="30"/>
      <c r="AJ3" s="31" t="n">
        <f aca="false">COUNTIF(Q3:X3,"P")*0.2</f>
        <v>0</v>
      </c>
    </row>
    <row r="4" customFormat="false" ht="18" hidden="false" customHeight="true" outlineLevel="0" collapsed="false">
      <c r="A4" s="16" t="n">
        <v>3</v>
      </c>
      <c r="B4" s="17" t="s">
        <v>42</v>
      </c>
      <c r="C4" s="16" t="n">
        <v>4</v>
      </c>
      <c r="D4" s="16" t="s">
        <v>37</v>
      </c>
      <c r="E4" s="16" t="n">
        <v>4</v>
      </c>
      <c r="F4" s="16" t="n">
        <v>2</v>
      </c>
      <c r="G4" s="16"/>
      <c r="H4" s="16"/>
      <c r="I4" s="16" t="n">
        <v>3</v>
      </c>
      <c r="J4" s="16" t="s">
        <v>37</v>
      </c>
      <c r="K4" s="16" t="n">
        <v>3</v>
      </c>
      <c r="L4" s="16"/>
      <c r="M4" s="16"/>
      <c r="N4" s="16"/>
      <c r="O4" s="18"/>
      <c r="P4" s="19" t="n">
        <f aca="false">IFERROR((IF(ISNUMBER(C4),C4*3,0)+IF(ISNUMBER(D4),D4*3,0)+IF(ISNUMBER(E4),E4*3,0)+IF(ISNUMBER(F4),F4*3,0)+IF(ISNUMBER(G4),G4*3,0)+IF(ISNUMBER(H4),H4*3,0)+IF(ISNUMBER(I4),I4*2,0)+IF(ISNUMBER(J4),J4*2,0)+IF(ISNUMBER(K4),K4*2,0)+IF(ISNUMBER(L4),L4*2,0)+IF(ISNUMBER(M4),M4*2,0)+IF(ISNUMBER(N4),N4*2,0)+IF(ISNUMBER(O4),O4*1,0))/(IF(ISNUMBER(C4),3,0)+IF(ISNUMBER(D4),3,0)+IF(ISNUMBER(E4),3,0)+IF(ISNUMBER(F4),3,0)+IF(ISNUMBER(G4),3,0)+IF(ISNUMBER(H4),3,0)+IF(ISNUMBER(I4),2,0)+IF(ISNUMBER(J4),2,0)+IF(ISNUMBER(K4),2,0)+IF(ISNUMBER(L4),2,0)+IF(ISNUMBER(M4),2,0)+IF(ISNUMBER(N4),2,0)+IF(ISNUMBER(O4),1,0)),"")</f>
        <v>3.23076923076923</v>
      </c>
      <c r="Q4" s="20"/>
      <c r="R4" s="16"/>
      <c r="S4" s="20"/>
      <c r="T4" s="20"/>
      <c r="U4" s="16"/>
      <c r="V4" s="20"/>
      <c r="W4" s="20"/>
      <c r="X4" s="16"/>
      <c r="Y4" s="21" t="n">
        <f aca="false">IF(ISBLANK(B4),"",COUNTIF(Q4:X4,"&gt;0")+IF(UPPER(AI4)="PODVOD",1,IF(ISNUMBER(AI4),AI4,0)))</f>
        <v>0</v>
      </c>
      <c r="Z4" s="22" t="n">
        <f aca="false">IF(ISBLANK(B4),"",IF(Y4=0,0,Y4/$AH$2))</f>
        <v>0</v>
      </c>
      <c r="AA4" s="23" t="n">
        <f aca="false">IF(ISBLANK(B4),"",IF(Y4&lt;3,0,IF((IF(ISNUMBER(Q4),IF(Q4&gt;=60,1,0),0)+IF(ISNUMBER(R4),IF(R4&gt;=60,1,0),0)+IF(ISNUMBER(S4),IF(S4&gt;=60,1,0),0)+IF(ISNUMBER(T4),IF(T4&gt;=60,1,0),0)+IF(ISNUMBER(U4),IF(U4&gt;=60,1,0),0)+IF(ISNUMBER(V4),IF(V4&gt;=60,1,0),0)+IF(ISNUMBER(W4),IF(W4&gt;=60,1,0),0)+IF(ISNUMBER(X4),IF(X4&gt;=60,1,0),0))&gt;0,(IF(ISNUMBER(Q4),IF(Q4&gt;=90,-0.25,IF(Q4&gt;=75,-0.15,-0.1)),0)+IF(ISNUMBER(R4),IF(R4&gt;=90,-0.25,IF(R4&gt;=75,-0.15,-0.1)),0)+IF(ISNUMBER(S4),IF(S4&gt;=90,-0.25,IF(S4&gt;=75,-0.15,-0.1)),0)+IF(ISNUMBER(T4),IF(T4&gt;=90,-0.25,IF(T4&gt;=75,-0.15,-0.1)),0)+IF(ISNUMBER(U4),IF(U4&gt;=90,-0.25,IF(U4&gt;=75,-0.15,-0.1)),0)+IF(ISNUMBER(V4),IF(V4&gt;=90,-0.25,IF(V4&gt;=75,-0.15,-0.1)),0)+IF(ISNUMBER(W4),IF(W4&gt;=90,-0.25,IF(W4&gt;=75,-0.15,-0.1)),0)+IF(ISNUMBER(X4),IF(X4&gt;=90,-0.25,IF(X4&gt;=75,-0.15,-0.1)),0))/(IF(ISNUMBER(Q4),IF(Q4&gt;=60,1,0),0)+IF(ISNUMBER(R4),IF(R4&gt;=60,1,0),0)+IF(ISNUMBER(S4),IF(S4&gt;=60,1,0),0)+IF(ISNUMBER(T4),IF(T4&gt;=60,1,0),0)+IF(ISNUMBER(U4),IF(U4&gt;=60,1,0),0)+IF(ISNUMBER(V4),IF(V4&gt;=60,1,0),0)+IF(ISNUMBER(W4),IF(W4&gt;=60,1,0),0)+IF(ISNUMBER(X4),IF(X4&gt;=60,1,0),0)),0)))</f>
        <v>0</v>
      </c>
      <c r="AB4" s="24" t="n">
        <f aca="false">IF(ISBLANK(B4),"",IF(AND(Y4&gt;=3,Z4&gt;=0.75),-0.15,0))</f>
        <v>0</v>
      </c>
      <c r="AC4" s="25" t="n">
        <f aca="false">AA4+AB4</f>
        <v>0</v>
      </c>
      <c r="AD4" s="23" t="n">
        <f aca="false">P4+AC4</f>
        <v>3.23076923076923</v>
      </c>
      <c r="AE4" s="26" t="n">
        <f aca="false">IF(ISBLANK(B4),"",IFERROR(IF(ISNUMBER(AD4),IF(AD4&lt;=1.5,1,IF(AD4&lt;=2.5,2,IF(AD4&lt;=3.5,3,IF(AD4&lt;=4.5,4,5)))),""),""))</f>
        <v>3</v>
      </c>
      <c r="AF4" s="27" t="s">
        <v>43</v>
      </c>
      <c r="AG4" s="28" t="s">
        <v>44</v>
      </c>
      <c r="AH4" s="33"/>
      <c r="AI4" s="30"/>
      <c r="AJ4" s="31" t="n">
        <f aca="false">COUNTIF(Q4:X4,"P")*0.2</f>
        <v>0</v>
      </c>
    </row>
    <row r="5" customFormat="false" ht="18" hidden="false" customHeight="true" outlineLevel="0" collapsed="false">
      <c r="A5" s="16" t="n">
        <v>4</v>
      </c>
      <c r="B5" s="17" t="s">
        <v>45</v>
      </c>
      <c r="C5" s="16" t="n">
        <v>3</v>
      </c>
      <c r="D5" s="16" t="s">
        <v>37</v>
      </c>
      <c r="E5" s="16" t="n">
        <v>3</v>
      </c>
      <c r="F5" s="16" t="n">
        <v>3</v>
      </c>
      <c r="G5" s="16"/>
      <c r="H5" s="16"/>
      <c r="I5" s="16" t="s">
        <v>37</v>
      </c>
      <c r="J5" s="16" t="n">
        <v>3</v>
      </c>
      <c r="K5" s="16" t="n">
        <v>3</v>
      </c>
      <c r="L5" s="16" t="n">
        <v>4</v>
      </c>
      <c r="M5" s="16"/>
      <c r="N5" s="16"/>
      <c r="O5" s="18"/>
      <c r="P5" s="19" t="n">
        <f aca="false">IFERROR((IF(ISNUMBER(C5),C5*3,0)+IF(ISNUMBER(D5),D5*3,0)+IF(ISNUMBER(E5),E5*3,0)+IF(ISNUMBER(F5),F5*3,0)+IF(ISNUMBER(G5),G5*3,0)+IF(ISNUMBER(H5),H5*3,0)+IF(ISNUMBER(I5),I5*2,0)+IF(ISNUMBER(J5),J5*2,0)+IF(ISNUMBER(K5),K5*2,0)+IF(ISNUMBER(L5),L5*2,0)+IF(ISNUMBER(M5),M5*2,0)+IF(ISNUMBER(N5),N5*2,0)+IF(ISNUMBER(O5),O5*1,0))/(IF(ISNUMBER(C5),3,0)+IF(ISNUMBER(D5),3,0)+IF(ISNUMBER(E5),3,0)+IF(ISNUMBER(F5),3,0)+IF(ISNUMBER(G5),3,0)+IF(ISNUMBER(H5),3,0)+IF(ISNUMBER(I5),2,0)+IF(ISNUMBER(J5),2,0)+IF(ISNUMBER(K5),2,0)+IF(ISNUMBER(L5),2,0)+IF(ISNUMBER(M5),2,0)+IF(ISNUMBER(N5),2,0)+IF(ISNUMBER(O5),1,0)),"")</f>
        <v>3.13333333333333</v>
      </c>
      <c r="Q5" s="20"/>
      <c r="R5" s="20" t="n">
        <v>91</v>
      </c>
      <c r="S5" s="20" t="n">
        <v>93</v>
      </c>
      <c r="T5" s="20"/>
      <c r="U5" s="20"/>
      <c r="V5" s="20"/>
      <c r="W5" s="20"/>
      <c r="X5" s="20"/>
      <c r="Y5" s="21" t="n">
        <f aca="false">IF(ISBLANK(B5),"",COUNTIF(Q5:X5,"&gt;0")+IF(UPPER(AI5)="PODVOD",1,IF(ISNUMBER(AI5),AI5,0)))</f>
        <v>2</v>
      </c>
      <c r="Z5" s="22" t="n">
        <f aca="false">IF(ISBLANK(B5),"",IF(Y5=0,0,Y5/$AH$2))</f>
        <v>0.5</v>
      </c>
      <c r="AA5" s="23" t="n">
        <f aca="false">IF(ISBLANK(B5),"",IF(Y5&lt;3,0,IF((IF(ISNUMBER(Q5),IF(Q5&gt;=60,1,0),0)+IF(ISNUMBER(R5),IF(R5&gt;=60,1,0),0)+IF(ISNUMBER(S5),IF(S5&gt;=60,1,0),0)+IF(ISNUMBER(T5),IF(T5&gt;=60,1,0),0)+IF(ISNUMBER(U5),IF(U5&gt;=60,1,0),0)+IF(ISNUMBER(V5),IF(V5&gt;=60,1,0),0)+IF(ISNUMBER(W5),IF(W5&gt;=60,1,0),0)+IF(ISNUMBER(X5),IF(X5&gt;=60,1,0),0))&gt;0,(IF(ISNUMBER(Q5),IF(Q5&gt;=90,-0.25,IF(Q5&gt;=75,-0.15,-0.1)),0)+IF(ISNUMBER(R5),IF(R5&gt;=90,-0.25,IF(R5&gt;=75,-0.15,-0.1)),0)+IF(ISNUMBER(S5),IF(S5&gt;=90,-0.25,IF(S5&gt;=75,-0.15,-0.1)),0)+IF(ISNUMBER(T5),IF(T5&gt;=90,-0.25,IF(T5&gt;=75,-0.15,-0.1)),0)+IF(ISNUMBER(U5),IF(U5&gt;=90,-0.25,IF(U5&gt;=75,-0.15,-0.1)),0)+IF(ISNUMBER(V5),IF(V5&gt;=90,-0.25,IF(V5&gt;=75,-0.15,-0.1)),0)+IF(ISNUMBER(W5),IF(W5&gt;=90,-0.25,IF(W5&gt;=75,-0.15,-0.1)),0)+IF(ISNUMBER(X5),IF(X5&gt;=90,-0.25,IF(X5&gt;=75,-0.15,-0.1)),0))/(IF(ISNUMBER(Q5),IF(Q5&gt;=60,1,0),0)+IF(ISNUMBER(R5),IF(R5&gt;=60,1,0),0)+IF(ISNUMBER(S5),IF(S5&gt;=60,1,0),0)+IF(ISNUMBER(T5),IF(T5&gt;=60,1,0),0)+IF(ISNUMBER(U5),IF(U5&gt;=60,1,0),0)+IF(ISNUMBER(V5),IF(V5&gt;=60,1,0),0)+IF(ISNUMBER(W5),IF(W5&gt;=60,1,0),0)+IF(ISNUMBER(X5),IF(X5&gt;=60,1,0),0)),0)))</f>
        <v>0</v>
      </c>
      <c r="AB5" s="24" t="n">
        <f aca="false">IF(ISBLANK(B5),"",IF(AND(Y5&gt;=3,Z5&gt;=0.75),-0.15,0))</f>
        <v>0</v>
      </c>
      <c r="AC5" s="25" t="n">
        <f aca="false">AA5+AB5</f>
        <v>0</v>
      </c>
      <c r="AD5" s="23" t="n">
        <f aca="false">P5+AC5</f>
        <v>3.13333333333333</v>
      </c>
      <c r="AE5" s="26" t="n">
        <f aca="false">IF(ISBLANK(B5),"",IFERROR(IF(ISNUMBER(AD5),IF(AD5&lt;=1.5,1,IF(AD5&lt;=2.5,2,IF(AD5&lt;=3.5,3,IF(AD5&lt;=4.5,4,5)))),""),""))</f>
        <v>3</v>
      </c>
      <c r="AF5" s="27" t="s">
        <v>46</v>
      </c>
      <c r="AG5" s="32" t="s">
        <v>47</v>
      </c>
      <c r="AH5" s="33"/>
      <c r="AI5" s="30"/>
      <c r="AJ5" s="31" t="n">
        <f aca="false">COUNTIF(Q5:X5,"P")*0.2</f>
        <v>0</v>
      </c>
    </row>
    <row r="6" customFormat="false" ht="18" hidden="false" customHeight="true" outlineLevel="0" collapsed="false">
      <c r="A6" s="16" t="n">
        <v>5</v>
      </c>
      <c r="B6" s="17" t="s">
        <v>48</v>
      </c>
      <c r="C6" s="16" t="n">
        <v>1</v>
      </c>
      <c r="D6" s="16" t="n">
        <v>1</v>
      </c>
      <c r="E6" s="16" t="n">
        <v>1</v>
      </c>
      <c r="F6" s="16" t="n">
        <v>2</v>
      </c>
      <c r="G6" s="16"/>
      <c r="H6" s="16"/>
      <c r="I6" s="16" t="n">
        <v>3</v>
      </c>
      <c r="J6" s="16" t="n">
        <v>1</v>
      </c>
      <c r="K6" s="16" t="n">
        <v>2</v>
      </c>
      <c r="L6" s="16" t="n">
        <v>1</v>
      </c>
      <c r="M6" s="16"/>
      <c r="N6" s="16"/>
      <c r="O6" s="18"/>
      <c r="P6" s="19" t="n">
        <f aca="false">IFERROR((IF(ISNUMBER(C6),C6*3,0)+IF(ISNUMBER(D6),D6*3,0)+IF(ISNUMBER(E6),E6*3,0)+IF(ISNUMBER(F6),F6*3,0)+IF(ISNUMBER(G6),G6*3,0)+IF(ISNUMBER(H6),H6*3,0)+IF(ISNUMBER(I6),I6*2,0)+IF(ISNUMBER(J6),J6*2,0)+IF(ISNUMBER(K6),K6*2,0)+IF(ISNUMBER(L6),L6*2,0)+IF(ISNUMBER(M6),M6*2,0)+IF(ISNUMBER(N6),N6*2,0)+IF(ISNUMBER(O6),O6*1,0))/(IF(ISNUMBER(C6),3,0)+IF(ISNUMBER(D6),3,0)+IF(ISNUMBER(E6),3,0)+IF(ISNUMBER(F6),3,0)+IF(ISNUMBER(G6),3,0)+IF(ISNUMBER(H6),3,0)+IF(ISNUMBER(I6),2,0)+IF(ISNUMBER(J6),2,0)+IF(ISNUMBER(K6),2,0)+IF(ISNUMBER(L6),2,0)+IF(ISNUMBER(M6),2,0)+IF(ISNUMBER(N6),2,0)+IF(ISNUMBER(O6),1,0)),"")</f>
        <v>1.45</v>
      </c>
      <c r="Q6" s="20"/>
      <c r="R6" s="20"/>
      <c r="S6" s="20"/>
      <c r="T6" s="20"/>
      <c r="U6" s="20"/>
      <c r="V6" s="20"/>
      <c r="W6" s="20"/>
      <c r="X6" s="20"/>
      <c r="Y6" s="21" t="n">
        <f aca="false">IF(ISBLANK(B6),"",COUNTIF(Q6:X6,"&gt;0")+IF(UPPER(AI6)="PODVOD",1,IF(ISNUMBER(AI6),AI6,0)))</f>
        <v>0</v>
      </c>
      <c r="Z6" s="22" t="n">
        <f aca="false">IF(ISBLANK(B6),"",IF(Y6=0,0,Y6/$AH$2))</f>
        <v>0</v>
      </c>
      <c r="AA6" s="23" t="n">
        <f aca="false">IF(ISBLANK(B6),"",IF(Y6&lt;3,0,IF((IF(ISNUMBER(Q6),IF(Q6&gt;=60,1,0),0)+IF(ISNUMBER(R6),IF(R6&gt;=60,1,0),0)+IF(ISNUMBER(S6),IF(S6&gt;=60,1,0),0)+IF(ISNUMBER(T6),IF(T6&gt;=60,1,0),0)+IF(ISNUMBER(U6),IF(U6&gt;=60,1,0),0)+IF(ISNUMBER(V6),IF(V6&gt;=60,1,0),0)+IF(ISNUMBER(W6),IF(W6&gt;=60,1,0),0)+IF(ISNUMBER(X6),IF(X6&gt;=60,1,0),0))&gt;0,(IF(ISNUMBER(Q6),IF(Q6&gt;=90,-0.25,IF(Q6&gt;=75,-0.15,-0.1)),0)+IF(ISNUMBER(R6),IF(R6&gt;=90,-0.25,IF(R6&gt;=75,-0.15,-0.1)),0)+IF(ISNUMBER(S6),IF(S6&gt;=90,-0.25,IF(S6&gt;=75,-0.15,-0.1)),0)+IF(ISNUMBER(T6),IF(T6&gt;=90,-0.25,IF(T6&gt;=75,-0.15,-0.1)),0)+IF(ISNUMBER(U6),IF(U6&gt;=90,-0.25,IF(U6&gt;=75,-0.15,-0.1)),0)+IF(ISNUMBER(V6),IF(V6&gt;=90,-0.25,IF(V6&gt;=75,-0.15,-0.1)),0)+IF(ISNUMBER(W6),IF(W6&gt;=90,-0.25,IF(W6&gt;=75,-0.15,-0.1)),0)+IF(ISNUMBER(X6),IF(X6&gt;=90,-0.25,IF(X6&gt;=75,-0.15,-0.1)),0))/(IF(ISNUMBER(Q6),IF(Q6&gt;=60,1,0),0)+IF(ISNUMBER(R6),IF(R6&gt;=60,1,0),0)+IF(ISNUMBER(S6),IF(S6&gt;=60,1,0),0)+IF(ISNUMBER(T6),IF(T6&gt;=60,1,0),0)+IF(ISNUMBER(U6),IF(U6&gt;=60,1,0),0)+IF(ISNUMBER(V6),IF(V6&gt;=60,1,0),0)+IF(ISNUMBER(W6),IF(W6&gt;=60,1,0),0)+IF(ISNUMBER(X6),IF(X6&gt;=60,1,0),0)),0)))</f>
        <v>0</v>
      </c>
      <c r="AB6" s="24" t="n">
        <f aca="false">IF(ISBLANK(B6),"",IF(AND(Y6&gt;=3,Z6&gt;=0.75),-0.15,0))</f>
        <v>0</v>
      </c>
      <c r="AC6" s="25" t="n">
        <f aca="false">AA6+AB6</f>
        <v>0</v>
      </c>
      <c r="AD6" s="23" t="n">
        <f aca="false">P6+AC6</f>
        <v>1.45</v>
      </c>
      <c r="AE6" s="26" t="n">
        <f aca="false">IF(ISBLANK(B6),"",IFERROR(IF(ISNUMBER(AD6),IF(AD6&lt;=1.5,1,IF(AD6&lt;=2.5,2,IF(AD6&lt;=3.5,3,IF(AD6&lt;=4.5,4,5)))),""),""))</f>
        <v>1</v>
      </c>
      <c r="AF6" s="27" t="s">
        <v>49</v>
      </c>
      <c r="AG6" s="28" t="s">
        <v>50</v>
      </c>
      <c r="AH6" s="33"/>
      <c r="AI6" s="30"/>
      <c r="AJ6" s="31" t="n">
        <f aca="false">COUNTIF(Q6:X6,"P")*0.2</f>
        <v>0</v>
      </c>
    </row>
    <row r="7" customFormat="false" ht="18" hidden="false" customHeight="true" outlineLevel="0" collapsed="false">
      <c r="A7" s="16" t="n">
        <v>6</v>
      </c>
      <c r="B7" s="17" t="s">
        <v>51</v>
      </c>
      <c r="C7" s="16" t="n">
        <v>3</v>
      </c>
      <c r="D7" s="16" t="n">
        <v>2</v>
      </c>
      <c r="E7" s="16" t="n">
        <v>1</v>
      </c>
      <c r="F7" s="16" t="n">
        <v>2</v>
      </c>
      <c r="G7" s="16"/>
      <c r="H7" s="16"/>
      <c r="I7" s="16" t="n">
        <v>2</v>
      </c>
      <c r="J7" s="16" t="s">
        <v>37</v>
      </c>
      <c r="K7" s="16" t="n">
        <v>2</v>
      </c>
      <c r="L7" s="16" t="n">
        <v>3</v>
      </c>
      <c r="M7" s="16"/>
      <c r="N7" s="16"/>
      <c r="O7" s="18"/>
      <c r="P7" s="19" t="n">
        <f aca="false">IFERROR((IF(ISNUMBER(C7),C7*3,0)+IF(ISNUMBER(D7),D7*3,0)+IF(ISNUMBER(E7),E7*3,0)+IF(ISNUMBER(F7),F7*3,0)+IF(ISNUMBER(G7),G7*3,0)+IF(ISNUMBER(H7),H7*3,0)+IF(ISNUMBER(I7),I7*2,0)+IF(ISNUMBER(J7),J7*2,0)+IF(ISNUMBER(K7),K7*2,0)+IF(ISNUMBER(L7),L7*2,0)+IF(ISNUMBER(M7),M7*2,0)+IF(ISNUMBER(N7),N7*2,0)+IF(ISNUMBER(O7),O7*1,0))/(IF(ISNUMBER(C7),3,0)+IF(ISNUMBER(D7),3,0)+IF(ISNUMBER(E7),3,0)+IF(ISNUMBER(F7),3,0)+IF(ISNUMBER(G7),3,0)+IF(ISNUMBER(H7),3,0)+IF(ISNUMBER(I7),2,0)+IF(ISNUMBER(J7),2,0)+IF(ISNUMBER(K7),2,0)+IF(ISNUMBER(L7),2,0)+IF(ISNUMBER(M7),2,0)+IF(ISNUMBER(N7),2,0)+IF(ISNUMBER(O7),1,0)),"")</f>
        <v>2.11111111111111</v>
      </c>
      <c r="Q7" s="20"/>
      <c r="R7" s="20"/>
      <c r="S7" s="20" t="n">
        <v>93</v>
      </c>
      <c r="T7" s="20" t="n">
        <v>76</v>
      </c>
      <c r="U7" s="20"/>
      <c r="V7" s="20"/>
      <c r="W7" s="20"/>
      <c r="X7" s="20"/>
      <c r="Y7" s="21" t="n">
        <f aca="false">IF(ISBLANK(B7),"",COUNTIF(Q7:X7,"&gt;0")+IF(UPPER(AI7)="PODVOD",1,IF(ISNUMBER(AI7),AI7,0)))</f>
        <v>2</v>
      </c>
      <c r="Z7" s="22" t="n">
        <f aca="false">IF(ISBLANK(B7),"",IF(Y7=0,0,Y7/$AH$2))</f>
        <v>0.5</v>
      </c>
      <c r="AA7" s="23" t="n">
        <f aca="false">IF(ISBLANK(B7),"",IF(Y7&lt;3,0,IF((IF(ISNUMBER(Q7),IF(Q7&gt;=60,1,0),0)+IF(ISNUMBER(R7),IF(R7&gt;=60,1,0),0)+IF(ISNUMBER(S7),IF(S7&gt;=60,1,0),0)+IF(ISNUMBER(T7),IF(T7&gt;=60,1,0),0)+IF(ISNUMBER(U7),IF(U7&gt;=60,1,0),0)+IF(ISNUMBER(V7),IF(V7&gt;=60,1,0),0)+IF(ISNUMBER(W7),IF(W7&gt;=60,1,0),0)+IF(ISNUMBER(X7),IF(X7&gt;=60,1,0),0))&gt;0,(IF(ISNUMBER(Q7),IF(Q7&gt;=90,-0.25,IF(Q7&gt;=75,-0.15,-0.1)),0)+IF(ISNUMBER(R7),IF(R7&gt;=90,-0.25,IF(R7&gt;=75,-0.15,-0.1)),0)+IF(ISNUMBER(S7),IF(S7&gt;=90,-0.25,IF(S7&gt;=75,-0.15,-0.1)),0)+IF(ISNUMBER(T7),IF(T7&gt;=90,-0.25,IF(T7&gt;=75,-0.15,-0.1)),0)+IF(ISNUMBER(U7),IF(U7&gt;=90,-0.25,IF(U7&gt;=75,-0.15,-0.1)),0)+IF(ISNUMBER(V7),IF(V7&gt;=90,-0.25,IF(V7&gt;=75,-0.15,-0.1)),0)+IF(ISNUMBER(W7),IF(W7&gt;=90,-0.25,IF(W7&gt;=75,-0.15,-0.1)),0)+IF(ISNUMBER(X7),IF(X7&gt;=90,-0.25,IF(X7&gt;=75,-0.15,-0.1)),0))/(IF(ISNUMBER(Q7),IF(Q7&gt;=60,1,0),0)+IF(ISNUMBER(R7),IF(R7&gt;=60,1,0),0)+IF(ISNUMBER(S7),IF(S7&gt;=60,1,0),0)+IF(ISNUMBER(T7),IF(T7&gt;=60,1,0),0)+IF(ISNUMBER(U7),IF(U7&gt;=60,1,0),0)+IF(ISNUMBER(V7),IF(V7&gt;=60,1,0),0)+IF(ISNUMBER(W7),IF(W7&gt;=60,1,0),0)+IF(ISNUMBER(X7),IF(X7&gt;=60,1,0),0)),0)))</f>
        <v>0</v>
      </c>
      <c r="AB7" s="24" t="n">
        <f aca="false">IF(ISBLANK(B7),"",IF(AND(Y7&gt;=3,Z7&gt;=0.75),-0.15,0))</f>
        <v>0</v>
      </c>
      <c r="AC7" s="25" t="n">
        <f aca="false">AA7+AB7</f>
        <v>0</v>
      </c>
      <c r="AD7" s="23" t="n">
        <f aca="false">P7+AC7</f>
        <v>2.11111111111111</v>
      </c>
      <c r="AE7" s="26" t="n">
        <f aca="false">IF(ISBLANK(B7),"",IFERROR(IF(ISNUMBER(AD7),IF(AD7&lt;=1.5,1,IF(AD7&lt;=2.5,2,IF(AD7&lt;=3.5,3,IF(AD7&lt;=4.5,4,5)))),""),""))</f>
        <v>2</v>
      </c>
      <c r="AF7" s="27" t="s">
        <v>52</v>
      </c>
      <c r="AG7" s="32" t="s">
        <v>53</v>
      </c>
      <c r="AH7" s="33"/>
      <c r="AI7" s="30"/>
      <c r="AJ7" s="31" t="n">
        <f aca="false">COUNTIF(Q7:X7,"P")*0.2</f>
        <v>0</v>
      </c>
    </row>
    <row r="8" customFormat="false" ht="18" hidden="false" customHeight="true" outlineLevel="0" collapsed="false">
      <c r="A8" s="34" t="n">
        <v>7</v>
      </c>
      <c r="B8" s="35" t="s">
        <v>54</v>
      </c>
      <c r="C8" s="16" t="n">
        <v>3</v>
      </c>
      <c r="D8" s="16" t="n">
        <v>3</v>
      </c>
      <c r="E8" s="16" t="n">
        <v>1</v>
      </c>
      <c r="F8" s="16" t="n">
        <v>2</v>
      </c>
      <c r="G8" s="16"/>
      <c r="H8" s="16"/>
      <c r="I8" s="16" t="n">
        <v>2</v>
      </c>
      <c r="J8" s="16" t="s">
        <v>37</v>
      </c>
      <c r="K8" s="16" t="n">
        <v>2</v>
      </c>
      <c r="L8" s="16" t="n">
        <v>2</v>
      </c>
      <c r="M8" s="16"/>
      <c r="N8" s="16"/>
      <c r="O8" s="18"/>
      <c r="P8" s="19" t="n">
        <f aca="false">IFERROR((IF(ISNUMBER(C8),C8*3,0)+IF(ISNUMBER(D8),D8*3,0)+IF(ISNUMBER(E8),E8*3,0)+IF(ISNUMBER(F8),F8*3,0)+IF(ISNUMBER(G8),G8*3,0)+IF(ISNUMBER(H8),H8*3,0)+IF(ISNUMBER(I8),I8*2,0)+IF(ISNUMBER(J8),J8*2,0)+IF(ISNUMBER(K8),K8*2,0)+IF(ISNUMBER(L8),L8*2,0)+IF(ISNUMBER(M8),M8*2,0)+IF(ISNUMBER(N8),N8*2,0)+IF(ISNUMBER(O8),O8*1,0))/(IF(ISNUMBER(C8),3,0)+IF(ISNUMBER(D8),3,0)+IF(ISNUMBER(E8),3,0)+IF(ISNUMBER(F8),3,0)+IF(ISNUMBER(G8),3,0)+IF(ISNUMBER(H8),3,0)+IF(ISNUMBER(I8),2,0)+IF(ISNUMBER(J8),2,0)+IF(ISNUMBER(K8),2,0)+IF(ISNUMBER(L8),2,0)+IF(ISNUMBER(M8),2,0)+IF(ISNUMBER(N8),2,0)+IF(ISNUMBER(O8),1,0)),"")</f>
        <v>2.16666666666667</v>
      </c>
      <c r="Q8" s="20"/>
      <c r="R8" s="16"/>
      <c r="S8" s="20" t="n">
        <v>98</v>
      </c>
      <c r="T8" s="20"/>
      <c r="U8" s="16"/>
      <c r="V8" s="20"/>
      <c r="W8" s="20"/>
      <c r="X8" s="16"/>
      <c r="Y8" s="21" t="n">
        <f aca="false">IF(ISBLANK(B8),"",COUNTIF(Q8:X8,"&gt;0")+IF(UPPER(AI8)="PODVOD",1,IF(ISNUMBER(AI8),AI8,0)))</f>
        <v>1</v>
      </c>
      <c r="Z8" s="22" t="n">
        <f aca="false">IF(ISBLANK(B8),"",IF(Y8=0,0,Y8/$AH$2))</f>
        <v>0.25</v>
      </c>
      <c r="AA8" s="23" t="n">
        <f aca="false">IF(ISBLANK(B8),"",IF(Y8&lt;3,0,IF((IF(ISNUMBER(Q8),IF(Q8&gt;=60,1,0),0)+IF(ISNUMBER(R8),IF(R8&gt;=60,1,0),0)+IF(ISNUMBER(S8),IF(S8&gt;=60,1,0),0)+IF(ISNUMBER(T8),IF(T8&gt;=60,1,0),0)+IF(ISNUMBER(U8),IF(U8&gt;=60,1,0),0)+IF(ISNUMBER(V8),IF(V8&gt;=60,1,0),0)+IF(ISNUMBER(W8),IF(W8&gt;=60,1,0),0)+IF(ISNUMBER(X8),IF(X8&gt;=60,1,0),0))&gt;0,(IF(ISNUMBER(Q8),IF(Q8&gt;=90,-0.25,IF(Q8&gt;=75,-0.15,-0.1)),0)+IF(ISNUMBER(R8),IF(R8&gt;=90,-0.25,IF(R8&gt;=75,-0.15,-0.1)),0)+IF(ISNUMBER(S8),IF(S8&gt;=90,-0.25,IF(S8&gt;=75,-0.15,-0.1)),0)+IF(ISNUMBER(T8),IF(T8&gt;=90,-0.25,IF(T8&gt;=75,-0.15,-0.1)),0)+IF(ISNUMBER(U8),IF(U8&gt;=90,-0.25,IF(U8&gt;=75,-0.15,-0.1)),0)+IF(ISNUMBER(V8),IF(V8&gt;=90,-0.25,IF(V8&gt;=75,-0.15,-0.1)),0)+IF(ISNUMBER(W8),IF(W8&gt;=90,-0.25,IF(W8&gt;=75,-0.15,-0.1)),0)+IF(ISNUMBER(X8),IF(X8&gt;=90,-0.25,IF(X8&gt;=75,-0.15,-0.1)),0))/(IF(ISNUMBER(Q8),IF(Q8&gt;=60,1,0),0)+IF(ISNUMBER(R8),IF(R8&gt;=60,1,0),0)+IF(ISNUMBER(S8),IF(S8&gt;=60,1,0),0)+IF(ISNUMBER(T8),IF(T8&gt;=60,1,0),0)+IF(ISNUMBER(U8),IF(U8&gt;=60,1,0),0)+IF(ISNUMBER(V8),IF(V8&gt;=60,1,0),0)+IF(ISNUMBER(W8),IF(W8&gt;=60,1,0),0)+IF(ISNUMBER(X8),IF(X8&gt;=60,1,0),0)),0)))</f>
        <v>0</v>
      </c>
      <c r="AB8" s="24" t="n">
        <f aca="false">IF(ISBLANK(B8),"",IF(AND(Y8&gt;=3,Z8&gt;=0.75),-0.15,0))</f>
        <v>0</v>
      </c>
      <c r="AC8" s="25" t="n">
        <f aca="false">AA8+AB8</f>
        <v>0</v>
      </c>
      <c r="AD8" s="23" t="n">
        <f aca="false">P8+AC8</f>
        <v>2.16666666666667</v>
      </c>
      <c r="AE8" s="26" t="n">
        <f aca="false">IF(ISBLANK(B8),"",IFERROR(IF(ISNUMBER(AD8),IF(AD8&lt;=1.5,1,IF(AD8&lt;=2.5,2,IF(AD8&lt;=3.5,3,IF(AD8&lt;=4.5,4,5)))),""),""))</f>
        <v>2</v>
      </c>
      <c r="AF8" s="27" t="s">
        <v>55</v>
      </c>
      <c r="AG8" s="28" t="s">
        <v>56</v>
      </c>
      <c r="AH8" s="33"/>
      <c r="AI8" s="30"/>
      <c r="AJ8" s="31" t="n">
        <f aca="false">COUNTIF(Q8:X8,"P")*0.2</f>
        <v>0</v>
      </c>
    </row>
    <row r="9" customFormat="false" ht="18" hidden="false" customHeight="true" outlineLevel="0" collapsed="false">
      <c r="A9" s="16" t="n">
        <v>8</v>
      </c>
      <c r="B9" s="17" t="s">
        <v>57</v>
      </c>
      <c r="C9" s="16" t="n">
        <v>1</v>
      </c>
      <c r="D9" s="16" t="n">
        <v>1</v>
      </c>
      <c r="E9" s="16" t="n">
        <v>1</v>
      </c>
      <c r="F9" s="16" t="n">
        <v>1</v>
      </c>
      <c r="G9" s="16"/>
      <c r="H9" s="16"/>
      <c r="I9" s="16" t="n">
        <v>2</v>
      </c>
      <c r="J9" s="16" t="n">
        <v>1</v>
      </c>
      <c r="K9" s="16" t="n">
        <v>1</v>
      </c>
      <c r="L9" s="16" t="n">
        <v>1</v>
      </c>
      <c r="M9" s="16"/>
      <c r="N9" s="16"/>
      <c r="O9" s="18" t="n">
        <v>1</v>
      </c>
      <c r="P9" s="19" t="n">
        <f aca="false">IFERROR((IF(ISNUMBER(C9),C9*3,0)+IF(ISNUMBER(D9),D9*3,0)+IF(ISNUMBER(E9),E9*3,0)+IF(ISNUMBER(F9),F9*3,0)+IF(ISNUMBER(G9),G9*3,0)+IF(ISNUMBER(H9),H9*3,0)+IF(ISNUMBER(I9),I9*2,0)+IF(ISNUMBER(J9),J9*2,0)+IF(ISNUMBER(K9),K9*2,0)+IF(ISNUMBER(L9),L9*2,0)+IF(ISNUMBER(M9),M9*2,0)+IF(ISNUMBER(N9),N9*2,0)+IF(ISNUMBER(O9),O9*1,0))/(IF(ISNUMBER(C9),3,0)+IF(ISNUMBER(D9),3,0)+IF(ISNUMBER(E9),3,0)+IF(ISNUMBER(F9),3,0)+IF(ISNUMBER(G9),3,0)+IF(ISNUMBER(H9),3,0)+IF(ISNUMBER(I9),2,0)+IF(ISNUMBER(J9),2,0)+IF(ISNUMBER(K9),2,0)+IF(ISNUMBER(L9),2,0)+IF(ISNUMBER(M9),2,0)+IF(ISNUMBER(N9),2,0)+IF(ISNUMBER(O9),1,0)),"")</f>
        <v>1.0952380952381</v>
      </c>
      <c r="Q9" s="20"/>
      <c r="R9" s="16"/>
      <c r="S9" s="20"/>
      <c r="T9" s="20"/>
      <c r="U9" s="16"/>
      <c r="V9" s="20"/>
      <c r="W9" s="20"/>
      <c r="X9" s="16"/>
      <c r="Y9" s="21" t="n">
        <f aca="false">IF(ISBLANK(B9),"",COUNTIF(Q9:X9,"&gt;0")+IF(UPPER(AI9)="PODVOD",1,IF(ISNUMBER(AI9),AI9,0)))</f>
        <v>0</v>
      </c>
      <c r="Z9" s="22" t="n">
        <f aca="false">IF(ISBLANK(B9),"",IF(Y9=0,0,Y9/$AH$2))</f>
        <v>0</v>
      </c>
      <c r="AA9" s="23" t="n">
        <f aca="false">IF(ISBLANK(B9),"",IF(Y9&lt;3,0,IF((IF(ISNUMBER(Q9),IF(Q9&gt;=60,1,0),0)+IF(ISNUMBER(R9),IF(R9&gt;=60,1,0),0)+IF(ISNUMBER(S9),IF(S9&gt;=60,1,0),0)+IF(ISNUMBER(T9),IF(T9&gt;=60,1,0),0)+IF(ISNUMBER(U9),IF(U9&gt;=60,1,0),0)+IF(ISNUMBER(V9),IF(V9&gt;=60,1,0),0)+IF(ISNUMBER(W9),IF(W9&gt;=60,1,0),0)+IF(ISNUMBER(X9),IF(X9&gt;=60,1,0),0))&gt;0,(IF(ISNUMBER(Q9),IF(Q9&gt;=90,-0.25,IF(Q9&gt;=75,-0.15,-0.1)),0)+IF(ISNUMBER(R9),IF(R9&gt;=90,-0.25,IF(R9&gt;=75,-0.15,-0.1)),0)+IF(ISNUMBER(S9),IF(S9&gt;=90,-0.25,IF(S9&gt;=75,-0.15,-0.1)),0)+IF(ISNUMBER(T9),IF(T9&gt;=90,-0.25,IF(T9&gt;=75,-0.15,-0.1)),0)+IF(ISNUMBER(U9),IF(U9&gt;=90,-0.25,IF(U9&gt;=75,-0.15,-0.1)),0)+IF(ISNUMBER(V9),IF(V9&gt;=90,-0.25,IF(V9&gt;=75,-0.15,-0.1)),0)+IF(ISNUMBER(W9),IF(W9&gt;=90,-0.25,IF(W9&gt;=75,-0.15,-0.1)),0)+IF(ISNUMBER(X9),IF(X9&gt;=90,-0.25,IF(X9&gt;=75,-0.15,-0.1)),0))/(IF(ISNUMBER(Q9),IF(Q9&gt;=60,1,0),0)+IF(ISNUMBER(R9),IF(R9&gt;=60,1,0),0)+IF(ISNUMBER(S9),IF(S9&gt;=60,1,0),0)+IF(ISNUMBER(T9),IF(T9&gt;=60,1,0),0)+IF(ISNUMBER(U9),IF(U9&gt;=60,1,0),0)+IF(ISNUMBER(V9),IF(V9&gt;=60,1,0),0)+IF(ISNUMBER(W9),IF(W9&gt;=60,1,0),0)+IF(ISNUMBER(X9),IF(X9&gt;=60,1,0),0)),0)))</f>
        <v>0</v>
      </c>
      <c r="AB9" s="24" t="n">
        <f aca="false">IF(ISBLANK(B9),"",IF(AND(Y9&gt;=3,Z9&gt;=0.75),-0.15,0))</f>
        <v>0</v>
      </c>
      <c r="AC9" s="25" t="n">
        <f aca="false">AA9+AB9</f>
        <v>0</v>
      </c>
      <c r="AD9" s="23" t="n">
        <f aca="false">P9+AC9</f>
        <v>1.0952380952381</v>
      </c>
      <c r="AE9" s="26" t="n">
        <f aca="false">IF(ISBLANK(B9),"",IFERROR(IF(ISNUMBER(AD9),IF(AD9&lt;=1.5,1,IF(AD9&lt;=2.5,2,IF(AD9&lt;=3.5,3,IF(AD9&lt;=4.5,4,5)))),""),""))</f>
        <v>1</v>
      </c>
      <c r="AF9" s="27" t="s">
        <v>58</v>
      </c>
      <c r="AG9" s="32" t="s">
        <v>59</v>
      </c>
      <c r="AH9" s="33"/>
      <c r="AI9" s="30"/>
      <c r="AJ9" s="31" t="n">
        <f aca="false">COUNTIF(Q9:X9,"P")*0.2</f>
        <v>0</v>
      </c>
    </row>
    <row r="10" customFormat="false" ht="18" hidden="false" customHeight="true" outlineLevel="0" collapsed="false">
      <c r="A10" s="16" t="n">
        <v>9</v>
      </c>
      <c r="B10" s="17" t="s">
        <v>60</v>
      </c>
      <c r="C10" s="16" t="n">
        <v>2</v>
      </c>
      <c r="D10" s="16" t="n">
        <v>2</v>
      </c>
      <c r="E10" s="16" t="n">
        <v>1</v>
      </c>
      <c r="F10" s="16" t="n">
        <v>3</v>
      </c>
      <c r="G10" s="16"/>
      <c r="H10" s="16"/>
      <c r="I10" s="16" t="n">
        <v>3</v>
      </c>
      <c r="J10" s="16" t="n">
        <v>1</v>
      </c>
      <c r="K10" s="16" t="s">
        <v>37</v>
      </c>
      <c r="L10" s="16" t="s">
        <v>37</v>
      </c>
      <c r="M10" s="16"/>
      <c r="N10" s="16"/>
      <c r="O10" s="18"/>
      <c r="P10" s="19" t="n">
        <f aca="false">IFERROR((IF(ISNUMBER(C10),C10*3,0)+IF(ISNUMBER(D10),D10*3,0)+IF(ISNUMBER(E10),E10*3,0)+IF(ISNUMBER(F10),F10*3,0)+IF(ISNUMBER(G10),G10*3,0)+IF(ISNUMBER(H10),H10*3,0)+IF(ISNUMBER(I10),I10*2,0)+IF(ISNUMBER(J10),J10*2,0)+IF(ISNUMBER(K10),K10*2,0)+IF(ISNUMBER(L10),L10*2,0)+IF(ISNUMBER(M10),M10*2,0)+IF(ISNUMBER(N10),N10*2,0)+IF(ISNUMBER(O10),O10*1,0))/(IF(ISNUMBER(C10),3,0)+IF(ISNUMBER(D10),3,0)+IF(ISNUMBER(E10),3,0)+IF(ISNUMBER(F10),3,0)+IF(ISNUMBER(G10),3,0)+IF(ISNUMBER(H10),3,0)+IF(ISNUMBER(I10),2,0)+IF(ISNUMBER(J10),2,0)+IF(ISNUMBER(K10),2,0)+IF(ISNUMBER(L10),2,0)+IF(ISNUMBER(M10),2,0)+IF(ISNUMBER(N10),2,0)+IF(ISNUMBER(O10),1,0)),"")</f>
        <v>2</v>
      </c>
      <c r="Q10" s="20"/>
      <c r="R10" s="20"/>
      <c r="S10" s="20"/>
      <c r="T10" s="20"/>
      <c r="U10" s="20"/>
      <c r="V10" s="20"/>
      <c r="W10" s="20"/>
      <c r="X10" s="20"/>
      <c r="Y10" s="21" t="n">
        <f aca="false">IF(ISBLANK(B10),"",COUNTIF(Q10:X10,"&gt;0")+IF(UPPER(AI10)="PODVOD",1,IF(ISNUMBER(AI10),AI10,0)))</f>
        <v>0</v>
      </c>
      <c r="Z10" s="22" t="n">
        <f aca="false">IF(ISBLANK(B10),"",IF(Y10=0,0,Y10/$AH$2))</f>
        <v>0</v>
      </c>
      <c r="AA10" s="23" t="n">
        <f aca="false">IF(ISBLANK(B10),"",IF(Y10&lt;3,0,IF((IF(ISNUMBER(Q10),IF(Q10&gt;=60,1,0),0)+IF(ISNUMBER(R10),IF(R10&gt;=60,1,0),0)+IF(ISNUMBER(S10),IF(S10&gt;=60,1,0),0)+IF(ISNUMBER(T10),IF(T10&gt;=60,1,0),0)+IF(ISNUMBER(U10),IF(U10&gt;=60,1,0),0)+IF(ISNUMBER(V10),IF(V10&gt;=60,1,0),0)+IF(ISNUMBER(W10),IF(W10&gt;=60,1,0),0)+IF(ISNUMBER(X10),IF(X10&gt;=60,1,0),0))&gt;0,(IF(ISNUMBER(Q10),IF(Q10&gt;=90,-0.25,IF(Q10&gt;=75,-0.15,-0.1)),0)+IF(ISNUMBER(R10),IF(R10&gt;=90,-0.25,IF(R10&gt;=75,-0.15,-0.1)),0)+IF(ISNUMBER(S10),IF(S10&gt;=90,-0.25,IF(S10&gt;=75,-0.15,-0.1)),0)+IF(ISNUMBER(T10),IF(T10&gt;=90,-0.25,IF(T10&gt;=75,-0.15,-0.1)),0)+IF(ISNUMBER(U10),IF(U10&gt;=90,-0.25,IF(U10&gt;=75,-0.15,-0.1)),0)+IF(ISNUMBER(V10),IF(V10&gt;=90,-0.25,IF(V10&gt;=75,-0.15,-0.1)),0)+IF(ISNUMBER(W10),IF(W10&gt;=90,-0.25,IF(W10&gt;=75,-0.15,-0.1)),0)+IF(ISNUMBER(X10),IF(X10&gt;=90,-0.25,IF(X10&gt;=75,-0.15,-0.1)),0))/(IF(ISNUMBER(Q10),IF(Q10&gt;=60,1,0),0)+IF(ISNUMBER(R10),IF(R10&gt;=60,1,0),0)+IF(ISNUMBER(S10),IF(S10&gt;=60,1,0),0)+IF(ISNUMBER(T10),IF(T10&gt;=60,1,0),0)+IF(ISNUMBER(U10),IF(U10&gt;=60,1,0),0)+IF(ISNUMBER(V10),IF(V10&gt;=60,1,0),0)+IF(ISNUMBER(W10),IF(W10&gt;=60,1,0),0)+IF(ISNUMBER(X10),IF(X10&gt;=60,1,0),0)),0)))</f>
        <v>0</v>
      </c>
      <c r="AB10" s="24" t="n">
        <f aca="false">IF(ISBLANK(B10),"",IF(AND(Y10&gt;=3,Z10&gt;=0.75),-0.15,0))</f>
        <v>0</v>
      </c>
      <c r="AC10" s="25" t="n">
        <f aca="false">AA10+AB10</f>
        <v>0</v>
      </c>
      <c r="AD10" s="23" t="n">
        <f aca="false">P10+AC10</f>
        <v>2</v>
      </c>
      <c r="AE10" s="26" t="n">
        <f aca="false">IF(ISBLANK(B10),"",IFERROR(IF(ISNUMBER(AD10),IF(AD10&lt;=1.5,1,IF(AD10&lt;=2.5,2,IF(AD10&lt;=3.5,3,IF(AD10&lt;=4.5,4,5)))),""),""))</f>
        <v>2</v>
      </c>
      <c r="AF10" s="27" t="s">
        <v>61</v>
      </c>
      <c r="AG10" s="28" t="s">
        <v>62</v>
      </c>
      <c r="AH10" s="33"/>
      <c r="AI10" s="30"/>
      <c r="AJ10" s="31" t="n">
        <f aca="false">COUNTIF(Q10:X10,"P")*0.2</f>
        <v>0</v>
      </c>
    </row>
    <row r="11" customFormat="false" ht="18" hidden="false" customHeight="true" outlineLevel="0" collapsed="false">
      <c r="A11" s="16" t="n">
        <v>10</v>
      </c>
      <c r="B11" s="17" t="s">
        <v>63</v>
      </c>
      <c r="C11" s="16" t="n">
        <v>2</v>
      </c>
      <c r="D11" s="16" t="n">
        <v>2</v>
      </c>
      <c r="E11" s="16" t="n">
        <v>2</v>
      </c>
      <c r="F11" s="16" t="n">
        <v>1</v>
      </c>
      <c r="G11" s="16"/>
      <c r="H11" s="16"/>
      <c r="I11" s="16" t="n">
        <v>4</v>
      </c>
      <c r="J11" s="16" t="n">
        <v>1</v>
      </c>
      <c r="K11" s="16" t="n">
        <v>2</v>
      </c>
      <c r="L11" s="16" t="n">
        <v>2</v>
      </c>
      <c r="M11" s="16"/>
      <c r="N11" s="16"/>
      <c r="O11" s="18" t="n">
        <v>1</v>
      </c>
      <c r="P11" s="19" t="n">
        <f aca="false">IFERROR((IF(ISNUMBER(C11),C11*3,0)+IF(ISNUMBER(D11),D11*3,0)+IF(ISNUMBER(E11),E11*3,0)+IF(ISNUMBER(F11),F11*3,0)+IF(ISNUMBER(G11),G11*3,0)+IF(ISNUMBER(H11),H11*3,0)+IF(ISNUMBER(I11),I11*2,0)+IF(ISNUMBER(J11),J11*2,0)+IF(ISNUMBER(K11),K11*2,0)+IF(ISNUMBER(L11),L11*2,0)+IF(ISNUMBER(M11),M11*2,0)+IF(ISNUMBER(N11),N11*2,0)+IF(ISNUMBER(O11),O11*1,0))/(IF(ISNUMBER(C11),3,0)+IF(ISNUMBER(D11),3,0)+IF(ISNUMBER(E11),3,0)+IF(ISNUMBER(F11),3,0)+IF(ISNUMBER(G11),3,0)+IF(ISNUMBER(H11),3,0)+IF(ISNUMBER(I11),2,0)+IF(ISNUMBER(J11),2,0)+IF(ISNUMBER(K11),2,0)+IF(ISNUMBER(L11),2,0)+IF(ISNUMBER(M11),2,0)+IF(ISNUMBER(N11),2,0)+IF(ISNUMBER(O11),1,0)),"")</f>
        <v>1.9047619047619</v>
      </c>
      <c r="Q11" s="20"/>
      <c r="R11" s="16"/>
      <c r="S11" s="20"/>
      <c r="T11" s="20"/>
      <c r="U11" s="16"/>
      <c r="V11" s="20"/>
      <c r="W11" s="20"/>
      <c r="X11" s="16"/>
      <c r="Y11" s="21" t="n">
        <f aca="false">IF(ISBLANK(B11),"",COUNTIF(Q11:X11,"&gt;0")+IF(UPPER(AI11)="PODVOD",1,IF(ISNUMBER(AI11),AI11,0)))</f>
        <v>0</v>
      </c>
      <c r="Z11" s="22" t="n">
        <f aca="false">IF(ISBLANK(B11),"",IF(Y11=0,0,Y11/$AH$2))</f>
        <v>0</v>
      </c>
      <c r="AA11" s="23" t="n">
        <f aca="false">IF(ISBLANK(B11),"",IF(Y11&lt;3,0,IF((IF(ISNUMBER(Q11),IF(Q11&gt;=60,1,0),0)+IF(ISNUMBER(R11),IF(R11&gt;=60,1,0),0)+IF(ISNUMBER(S11),IF(S11&gt;=60,1,0),0)+IF(ISNUMBER(T11),IF(T11&gt;=60,1,0),0)+IF(ISNUMBER(U11),IF(U11&gt;=60,1,0),0)+IF(ISNUMBER(V11),IF(V11&gt;=60,1,0),0)+IF(ISNUMBER(W11),IF(W11&gt;=60,1,0),0)+IF(ISNUMBER(X11),IF(X11&gt;=60,1,0),0))&gt;0,(IF(ISNUMBER(Q11),IF(Q11&gt;=90,-0.25,IF(Q11&gt;=75,-0.15,-0.1)),0)+IF(ISNUMBER(R11),IF(R11&gt;=90,-0.25,IF(R11&gt;=75,-0.15,-0.1)),0)+IF(ISNUMBER(S11),IF(S11&gt;=90,-0.25,IF(S11&gt;=75,-0.15,-0.1)),0)+IF(ISNUMBER(T11),IF(T11&gt;=90,-0.25,IF(T11&gt;=75,-0.15,-0.1)),0)+IF(ISNUMBER(U11),IF(U11&gt;=90,-0.25,IF(U11&gt;=75,-0.15,-0.1)),0)+IF(ISNUMBER(V11),IF(V11&gt;=90,-0.25,IF(V11&gt;=75,-0.15,-0.1)),0)+IF(ISNUMBER(W11),IF(W11&gt;=90,-0.25,IF(W11&gt;=75,-0.15,-0.1)),0)+IF(ISNUMBER(X11),IF(X11&gt;=90,-0.25,IF(X11&gt;=75,-0.15,-0.1)),0))/(IF(ISNUMBER(Q11),IF(Q11&gt;=60,1,0),0)+IF(ISNUMBER(R11),IF(R11&gt;=60,1,0),0)+IF(ISNUMBER(S11),IF(S11&gt;=60,1,0),0)+IF(ISNUMBER(T11),IF(T11&gt;=60,1,0),0)+IF(ISNUMBER(U11),IF(U11&gt;=60,1,0),0)+IF(ISNUMBER(V11),IF(V11&gt;=60,1,0),0)+IF(ISNUMBER(W11),IF(W11&gt;=60,1,0),0)+IF(ISNUMBER(X11),IF(X11&gt;=60,1,0),0)),0)))</f>
        <v>0</v>
      </c>
      <c r="AB11" s="24" t="n">
        <f aca="false">IF(ISBLANK(B11),"",IF(AND(Y11&gt;=3,Z11&gt;=0.75),-0.15,0))</f>
        <v>0</v>
      </c>
      <c r="AC11" s="25" t="n">
        <f aca="false">AA11+AB11</f>
        <v>0</v>
      </c>
      <c r="AD11" s="23" t="n">
        <f aca="false">P11+AC11</f>
        <v>1.9047619047619</v>
      </c>
      <c r="AE11" s="26" t="n">
        <f aca="false">IF(ISBLANK(B11),"",IFERROR(IF(ISNUMBER(AD11),IF(AD11&lt;=1.5,1,IF(AD11&lt;=2.5,2,IF(AD11&lt;=3.5,3,IF(AD11&lt;=4.5,4,5)))),""),""))</f>
        <v>2</v>
      </c>
      <c r="AF11" s="27" t="s">
        <v>64</v>
      </c>
      <c r="AG11" s="32" t="s">
        <v>65</v>
      </c>
      <c r="AH11" s="33"/>
      <c r="AI11" s="30"/>
      <c r="AJ11" s="31" t="n">
        <f aca="false">COUNTIF(Q11:X11,"P")*0.2</f>
        <v>0</v>
      </c>
    </row>
    <row r="12" customFormat="false" ht="18" hidden="false" customHeight="true" outlineLevel="0" collapsed="false">
      <c r="A12" s="16" t="n">
        <v>11</v>
      </c>
      <c r="B12" s="17" t="s">
        <v>66</v>
      </c>
      <c r="C12" s="16" t="n">
        <v>2</v>
      </c>
      <c r="D12" s="16" t="n">
        <v>1</v>
      </c>
      <c r="E12" s="16" t="n">
        <v>1</v>
      </c>
      <c r="F12" s="16" t="n">
        <v>1</v>
      </c>
      <c r="G12" s="16"/>
      <c r="H12" s="16"/>
      <c r="I12" s="16" t="n">
        <v>1</v>
      </c>
      <c r="J12" s="16" t="n">
        <v>1</v>
      </c>
      <c r="K12" s="16" t="n">
        <v>1</v>
      </c>
      <c r="L12" s="16" t="n">
        <v>1</v>
      </c>
      <c r="M12" s="16"/>
      <c r="N12" s="16"/>
      <c r="O12" s="18"/>
      <c r="P12" s="19" t="n">
        <f aca="false">IFERROR((IF(ISNUMBER(C12),C12*3,0)+IF(ISNUMBER(D12),D12*3,0)+IF(ISNUMBER(E12),E12*3,0)+IF(ISNUMBER(F12),F12*3,0)+IF(ISNUMBER(G12),G12*3,0)+IF(ISNUMBER(H12),H12*3,0)+IF(ISNUMBER(I12),I12*2,0)+IF(ISNUMBER(J12),J12*2,0)+IF(ISNUMBER(K12),K12*2,0)+IF(ISNUMBER(L12),L12*2,0)+IF(ISNUMBER(M12),M12*2,0)+IF(ISNUMBER(N12),N12*2,0)+IF(ISNUMBER(O12),O12*1,0))/(IF(ISNUMBER(C12),3,0)+IF(ISNUMBER(D12),3,0)+IF(ISNUMBER(E12),3,0)+IF(ISNUMBER(F12),3,0)+IF(ISNUMBER(G12),3,0)+IF(ISNUMBER(H12),3,0)+IF(ISNUMBER(I12),2,0)+IF(ISNUMBER(J12),2,0)+IF(ISNUMBER(K12),2,0)+IF(ISNUMBER(L12),2,0)+IF(ISNUMBER(M12),2,0)+IF(ISNUMBER(N12),2,0)+IF(ISNUMBER(O12),1,0)),"")</f>
        <v>1.15</v>
      </c>
      <c r="Q12" s="20" t="n">
        <v>100</v>
      </c>
      <c r="R12" s="16" t="n">
        <v>93</v>
      </c>
      <c r="S12" s="20" t="n">
        <v>100</v>
      </c>
      <c r="T12" s="20" t="s">
        <v>67</v>
      </c>
      <c r="U12" s="16" t="s">
        <v>67</v>
      </c>
      <c r="V12" s="20"/>
      <c r="W12" s="20"/>
      <c r="X12" s="16"/>
      <c r="Y12" s="21" t="n">
        <f aca="false">IF(ISBLANK(B12),"",COUNTIF(Q12:X12,"&gt;0")+IF(UPPER(AI12)="PODVOD",1,IF(ISNUMBER(AI12),AI12,0)))</f>
        <v>3</v>
      </c>
      <c r="Z12" s="22" t="n">
        <f aca="false">IF(ISBLANK(B12),"",IF(Y12=0,0,Y12/$AH$2))</f>
        <v>0.75</v>
      </c>
      <c r="AA12" s="23" t="n">
        <f aca="false">IF(ISBLANK(B12),"",IF(Y12&lt;3,0,IF((IF(ISNUMBER(Q12),IF(Q12&gt;=60,1,0),0)+IF(ISNUMBER(R12),IF(R12&gt;=60,1,0),0)+IF(ISNUMBER(S12),IF(S12&gt;=60,1,0),0)+IF(ISNUMBER(T12),IF(T12&gt;=60,1,0),0)+IF(ISNUMBER(U12),IF(U12&gt;=60,1,0),0)+IF(ISNUMBER(V12),IF(V12&gt;=60,1,0),0)+IF(ISNUMBER(W12),IF(W12&gt;=60,1,0),0)+IF(ISNUMBER(X12),IF(X12&gt;=60,1,0),0))&gt;0,(IF(ISNUMBER(Q12),IF(Q12&gt;=90,-0.25,IF(Q12&gt;=75,-0.15,-0.1)),0)+IF(ISNUMBER(R12),IF(R12&gt;=90,-0.25,IF(R12&gt;=75,-0.15,-0.1)),0)+IF(ISNUMBER(S12),IF(S12&gt;=90,-0.25,IF(S12&gt;=75,-0.15,-0.1)),0)+IF(ISNUMBER(T12),IF(T12&gt;=90,-0.25,IF(T12&gt;=75,-0.15,-0.1)),0)+IF(ISNUMBER(U12),IF(U12&gt;=90,-0.25,IF(U12&gt;=75,-0.15,-0.1)),0)+IF(ISNUMBER(V12),IF(V12&gt;=90,-0.25,IF(V12&gt;=75,-0.15,-0.1)),0)+IF(ISNUMBER(W12),IF(W12&gt;=90,-0.25,IF(W12&gt;=75,-0.15,-0.1)),0)+IF(ISNUMBER(X12),IF(X12&gt;=90,-0.25,IF(X12&gt;=75,-0.15,-0.1)),0))/(IF(ISNUMBER(Q12),IF(Q12&gt;=60,1,0),0)+IF(ISNUMBER(R12),IF(R12&gt;=60,1,0),0)+IF(ISNUMBER(S12),IF(S12&gt;=60,1,0),0)+IF(ISNUMBER(T12),IF(T12&gt;=60,1,0),0)+IF(ISNUMBER(U12),IF(U12&gt;=60,1,0),0)+IF(ISNUMBER(V12),IF(V12&gt;=60,1,0),0)+IF(ISNUMBER(W12),IF(W12&gt;=60,1,0),0)+IF(ISNUMBER(X12),IF(X12&gt;=60,1,0),0)),0)))</f>
        <v>-0.25</v>
      </c>
      <c r="AB12" s="24" t="n">
        <f aca="false">IF(ISBLANK(B12),"",IF(AND(Y12&gt;=3,Z12&gt;=0.75),-0.15,0))</f>
        <v>-0.15</v>
      </c>
      <c r="AC12" s="25" t="n">
        <f aca="false">AA12+AB12</f>
        <v>-0.4</v>
      </c>
      <c r="AD12" s="23" t="n">
        <f aca="false">P12+AC12</f>
        <v>0.75</v>
      </c>
      <c r="AE12" s="26" t="n">
        <f aca="false">IF(ISBLANK(B12),"",IFERROR(IF(ISNUMBER(AD12),IF(AD12&lt;=1.5,1,IF(AD12&lt;=2.5,2,IF(AD12&lt;=3.5,3,IF(AD12&lt;=4.5,4,5)))),""),""))</f>
        <v>1</v>
      </c>
      <c r="AF12" s="27" t="s">
        <v>68</v>
      </c>
      <c r="AG12" s="28" t="s">
        <v>69</v>
      </c>
      <c r="AH12" s="33"/>
      <c r="AI12" s="30"/>
      <c r="AJ12" s="31" t="n">
        <f aca="false">COUNTIF(Q12:X12,"P")*0.2</f>
        <v>0.4</v>
      </c>
    </row>
    <row r="13" customFormat="false" ht="18" hidden="false" customHeight="true" outlineLevel="0" collapsed="false">
      <c r="A13" s="16" t="n">
        <v>12</v>
      </c>
      <c r="B13" s="17" t="s">
        <v>70</v>
      </c>
      <c r="C13" s="16" t="s">
        <v>37</v>
      </c>
      <c r="D13" s="16" t="n">
        <v>1</v>
      </c>
      <c r="E13" s="16" t="n">
        <v>1</v>
      </c>
      <c r="F13" s="16" t="n">
        <v>2</v>
      </c>
      <c r="G13" s="16"/>
      <c r="H13" s="16"/>
      <c r="I13" s="16" t="n">
        <v>1</v>
      </c>
      <c r="J13" s="16" t="s">
        <v>37</v>
      </c>
      <c r="K13" s="16" t="n">
        <v>1</v>
      </c>
      <c r="L13" s="16" t="n">
        <v>1</v>
      </c>
      <c r="M13" s="16"/>
      <c r="N13" s="16"/>
      <c r="O13" s="18" t="n">
        <v>1</v>
      </c>
      <c r="P13" s="19" t="n">
        <f aca="false">IFERROR((IF(ISNUMBER(C13),C13*3,0)+IF(ISNUMBER(D13),D13*3,0)+IF(ISNUMBER(E13),E13*3,0)+IF(ISNUMBER(F13),F13*3,0)+IF(ISNUMBER(G13),G13*3,0)+IF(ISNUMBER(H13),H13*3,0)+IF(ISNUMBER(I13),I13*2,0)+IF(ISNUMBER(J13),J13*2,0)+IF(ISNUMBER(K13),K13*2,0)+IF(ISNUMBER(L13),L13*2,0)+IF(ISNUMBER(M13),M13*2,0)+IF(ISNUMBER(N13),N13*2,0)+IF(ISNUMBER(O13),O13*1,0))/(IF(ISNUMBER(C13),3,0)+IF(ISNUMBER(D13),3,0)+IF(ISNUMBER(E13),3,0)+IF(ISNUMBER(F13),3,0)+IF(ISNUMBER(G13),3,0)+IF(ISNUMBER(H13),3,0)+IF(ISNUMBER(I13),2,0)+IF(ISNUMBER(J13),2,0)+IF(ISNUMBER(K13),2,0)+IF(ISNUMBER(L13),2,0)+IF(ISNUMBER(M13),2,0)+IF(ISNUMBER(N13),2,0)+IF(ISNUMBER(O13),1,0)),"")</f>
        <v>1.1875</v>
      </c>
      <c r="Q13" s="20"/>
      <c r="R13" s="16"/>
      <c r="S13" s="20" t="n">
        <v>100</v>
      </c>
      <c r="T13" s="20" t="s">
        <v>67</v>
      </c>
      <c r="U13" s="16" t="s">
        <v>67</v>
      </c>
      <c r="V13" s="20"/>
      <c r="W13" s="20"/>
      <c r="X13" s="16"/>
      <c r="Y13" s="21" t="n">
        <f aca="false">IF(ISBLANK(B13),"",COUNTIF(Q13:X13,"&gt;0")+IF(UPPER(AI13)="PODVOD",1,IF(ISNUMBER(AI13),AI13,0)))</f>
        <v>1</v>
      </c>
      <c r="Z13" s="22" t="n">
        <f aca="false">IF(ISBLANK(B13),"",IF(Y13=0,0,Y13/$AH$2))</f>
        <v>0.25</v>
      </c>
      <c r="AA13" s="23" t="n">
        <f aca="false">IF(ISBLANK(B13),"",IF(Y13&lt;3,0,IF((IF(ISNUMBER(Q13),IF(Q13&gt;=60,1,0),0)+IF(ISNUMBER(R13),IF(R13&gt;=60,1,0),0)+IF(ISNUMBER(S13),IF(S13&gt;=60,1,0),0)+IF(ISNUMBER(T13),IF(T13&gt;=60,1,0),0)+IF(ISNUMBER(U13),IF(U13&gt;=60,1,0),0)+IF(ISNUMBER(V13),IF(V13&gt;=60,1,0),0)+IF(ISNUMBER(W13),IF(W13&gt;=60,1,0),0)+IF(ISNUMBER(X13),IF(X13&gt;=60,1,0),0))&gt;0,(IF(ISNUMBER(Q13),IF(Q13&gt;=90,-0.25,IF(Q13&gt;=75,-0.15,-0.1)),0)+IF(ISNUMBER(R13),IF(R13&gt;=90,-0.25,IF(R13&gt;=75,-0.15,-0.1)),0)+IF(ISNUMBER(S13),IF(S13&gt;=90,-0.25,IF(S13&gt;=75,-0.15,-0.1)),0)+IF(ISNUMBER(T13),IF(T13&gt;=90,-0.25,IF(T13&gt;=75,-0.15,-0.1)),0)+IF(ISNUMBER(U13),IF(U13&gt;=90,-0.25,IF(U13&gt;=75,-0.15,-0.1)),0)+IF(ISNUMBER(V13),IF(V13&gt;=90,-0.25,IF(V13&gt;=75,-0.15,-0.1)),0)+IF(ISNUMBER(W13),IF(W13&gt;=90,-0.25,IF(W13&gt;=75,-0.15,-0.1)),0)+IF(ISNUMBER(X13),IF(X13&gt;=90,-0.25,IF(X13&gt;=75,-0.15,-0.1)),0))/(IF(ISNUMBER(Q13),IF(Q13&gt;=60,1,0),0)+IF(ISNUMBER(R13),IF(R13&gt;=60,1,0),0)+IF(ISNUMBER(S13),IF(S13&gt;=60,1,0),0)+IF(ISNUMBER(T13),IF(T13&gt;=60,1,0),0)+IF(ISNUMBER(U13),IF(U13&gt;=60,1,0),0)+IF(ISNUMBER(V13),IF(V13&gt;=60,1,0),0)+IF(ISNUMBER(W13),IF(W13&gt;=60,1,0),0)+IF(ISNUMBER(X13),IF(X13&gt;=60,1,0),0)),0)))</f>
        <v>0</v>
      </c>
      <c r="AB13" s="24" t="n">
        <f aca="false">IF(ISBLANK(B13),"",IF(AND(Y13&gt;=3,Z13&gt;=0.75),-0.15,0))</f>
        <v>0</v>
      </c>
      <c r="AC13" s="25" t="n">
        <f aca="false">AA13+AB13</f>
        <v>0</v>
      </c>
      <c r="AD13" s="23" t="n">
        <f aca="false">P13+AC13</f>
        <v>1.1875</v>
      </c>
      <c r="AE13" s="26" t="n">
        <f aca="false">IF(ISBLANK(B13),"",IFERROR(IF(ISNUMBER(AD13),IF(AD13&lt;=1.5,1,IF(AD13&lt;=2.5,2,IF(AD13&lt;=3.5,3,IF(AD13&lt;=4.5,4,5)))),""),""))</f>
        <v>1</v>
      </c>
      <c r="AF13" s="27" t="s">
        <v>71</v>
      </c>
      <c r="AG13" s="32" t="s">
        <v>72</v>
      </c>
      <c r="AH13" s="33"/>
      <c r="AI13" s="30"/>
      <c r="AJ13" s="31" t="n">
        <f aca="false">COUNTIF(Q13:X13,"P")*0.2</f>
        <v>0.4</v>
      </c>
    </row>
    <row r="14" customFormat="false" ht="18" hidden="false" customHeight="true" outlineLevel="0" collapsed="false">
      <c r="A14" s="34" t="n">
        <v>13</v>
      </c>
      <c r="B14" s="35" t="s">
        <v>73</v>
      </c>
      <c r="C14" s="16" t="n">
        <v>2</v>
      </c>
      <c r="D14" s="16" t="n">
        <v>1</v>
      </c>
      <c r="E14" s="16" t="n">
        <v>1</v>
      </c>
      <c r="F14" s="16" t="n">
        <v>1</v>
      </c>
      <c r="G14" s="16"/>
      <c r="H14" s="16"/>
      <c r="I14" s="16" t="n">
        <v>1</v>
      </c>
      <c r="J14" s="16" t="n">
        <v>1</v>
      </c>
      <c r="K14" s="16" t="n">
        <v>1</v>
      </c>
      <c r="L14" s="16" t="n">
        <v>1</v>
      </c>
      <c r="M14" s="16"/>
      <c r="N14" s="16"/>
      <c r="O14" s="18" t="n">
        <v>1</v>
      </c>
      <c r="P14" s="19" t="n">
        <f aca="false">IFERROR((IF(ISNUMBER(C14),C14*3,0)+IF(ISNUMBER(D14),D14*3,0)+IF(ISNUMBER(E14),E14*3,0)+IF(ISNUMBER(F14),F14*3,0)+IF(ISNUMBER(G14),G14*3,0)+IF(ISNUMBER(H14),H14*3,0)+IF(ISNUMBER(I14),I14*2,0)+IF(ISNUMBER(J14),J14*2,0)+IF(ISNUMBER(K14),K14*2,0)+IF(ISNUMBER(L14),L14*2,0)+IF(ISNUMBER(M14),M14*2,0)+IF(ISNUMBER(N14),N14*2,0)+IF(ISNUMBER(O14),O14*1,0))/(IF(ISNUMBER(C14),3,0)+IF(ISNUMBER(D14),3,0)+IF(ISNUMBER(E14),3,0)+IF(ISNUMBER(F14),3,0)+IF(ISNUMBER(G14),3,0)+IF(ISNUMBER(H14),3,0)+IF(ISNUMBER(I14),2,0)+IF(ISNUMBER(J14),2,0)+IF(ISNUMBER(K14),2,0)+IF(ISNUMBER(L14),2,0)+IF(ISNUMBER(M14),2,0)+IF(ISNUMBER(N14),2,0)+IF(ISNUMBER(O14),1,0)),"")</f>
        <v>1.14285714285714</v>
      </c>
      <c r="Q14" s="20"/>
      <c r="R14" s="16"/>
      <c r="S14" s="20" t="n">
        <v>100</v>
      </c>
      <c r="T14" s="20"/>
      <c r="U14" s="16"/>
      <c r="V14" s="20"/>
      <c r="W14" s="20"/>
      <c r="X14" s="16"/>
      <c r="Y14" s="21" t="n">
        <f aca="false">IF(ISBLANK(B14),"",COUNTIF(Q14:X14,"&gt;0")+IF(UPPER(AI14)="PODVOD",1,IF(ISNUMBER(AI14),AI14,0)))</f>
        <v>1</v>
      </c>
      <c r="Z14" s="22" t="n">
        <f aca="false">IF(ISBLANK(B14),"",IF(Y14=0,0,Y14/$AH$2))</f>
        <v>0.25</v>
      </c>
      <c r="AA14" s="23" t="n">
        <f aca="false">IF(ISBLANK(B14),"",IF(Y14&lt;3,0,IF((IF(ISNUMBER(Q14),IF(Q14&gt;=60,1,0),0)+IF(ISNUMBER(R14),IF(R14&gt;=60,1,0),0)+IF(ISNUMBER(S14),IF(S14&gt;=60,1,0),0)+IF(ISNUMBER(T14),IF(T14&gt;=60,1,0),0)+IF(ISNUMBER(U14),IF(U14&gt;=60,1,0),0)+IF(ISNUMBER(V14),IF(V14&gt;=60,1,0),0)+IF(ISNUMBER(W14),IF(W14&gt;=60,1,0),0)+IF(ISNUMBER(X14),IF(X14&gt;=60,1,0),0))&gt;0,(IF(ISNUMBER(Q14),IF(Q14&gt;=90,-0.25,IF(Q14&gt;=75,-0.15,-0.1)),0)+IF(ISNUMBER(R14),IF(R14&gt;=90,-0.25,IF(R14&gt;=75,-0.15,-0.1)),0)+IF(ISNUMBER(S14),IF(S14&gt;=90,-0.25,IF(S14&gt;=75,-0.15,-0.1)),0)+IF(ISNUMBER(T14),IF(T14&gt;=90,-0.25,IF(T14&gt;=75,-0.15,-0.1)),0)+IF(ISNUMBER(U14),IF(U14&gt;=90,-0.25,IF(U14&gt;=75,-0.15,-0.1)),0)+IF(ISNUMBER(V14),IF(V14&gt;=90,-0.25,IF(V14&gt;=75,-0.15,-0.1)),0)+IF(ISNUMBER(W14),IF(W14&gt;=90,-0.25,IF(W14&gt;=75,-0.15,-0.1)),0)+IF(ISNUMBER(X14),IF(X14&gt;=90,-0.25,IF(X14&gt;=75,-0.15,-0.1)),0))/(IF(ISNUMBER(Q14),IF(Q14&gt;=60,1,0),0)+IF(ISNUMBER(R14),IF(R14&gt;=60,1,0),0)+IF(ISNUMBER(S14),IF(S14&gt;=60,1,0),0)+IF(ISNUMBER(T14),IF(T14&gt;=60,1,0),0)+IF(ISNUMBER(U14),IF(U14&gt;=60,1,0),0)+IF(ISNUMBER(V14),IF(V14&gt;=60,1,0),0)+IF(ISNUMBER(W14),IF(W14&gt;=60,1,0),0)+IF(ISNUMBER(X14),IF(X14&gt;=60,1,0),0)),0)))</f>
        <v>0</v>
      </c>
      <c r="AB14" s="24" t="n">
        <f aca="false">IF(ISBLANK(B14),"",IF(AND(Y14&gt;=3,Z14&gt;=0.75),-0.15,0))</f>
        <v>0</v>
      </c>
      <c r="AC14" s="25" t="n">
        <f aca="false">AA14+AB14</f>
        <v>0</v>
      </c>
      <c r="AD14" s="23" t="n">
        <f aca="false">P14+AC14</f>
        <v>1.14285714285714</v>
      </c>
      <c r="AE14" s="26" t="n">
        <f aca="false">IF(ISBLANK(B14),"",IFERROR(IF(ISNUMBER(AD14),IF(AD14&lt;=1.5,1,IF(AD14&lt;=2.5,2,IF(AD14&lt;=3.5,3,IF(AD14&lt;=4.5,4,5)))),""),""))</f>
        <v>1</v>
      </c>
      <c r="AF14" s="27" t="s">
        <v>74</v>
      </c>
      <c r="AG14" s="28" t="s">
        <v>75</v>
      </c>
      <c r="AH14" s="33"/>
      <c r="AI14" s="30"/>
      <c r="AJ14" s="31" t="n">
        <f aca="false">COUNTIF(Q14:X14,"P")*0.2</f>
        <v>0</v>
      </c>
    </row>
    <row r="15" customFormat="false" ht="18" hidden="false" customHeight="true" outlineLevel="0" collapsed="false">
      <c r="A15" s="16" t="n">
        <v>14</v>
      </c>
      <c r="B15" s="17" t="s">
        <v>76</v>
      </c>
      <c r="C15" s="16" t="n">
        <v>2</v>
      </c>
      <c r="D15" s="16" t="n">
        <v>1</v>
      </c>
      <c r="E15" s="16" t="n">
        <v>1</v>
      </c>
      <c r="F15" s="16" t="n">
        <v>1</v>
      </c>
      <c r="G15" s="16"/>
      <c r="H15" s="16"/>
      <c r="I15" s="16" t="n">
        <v>1</v>
      </c>
      <c r="J15" s="16" t="s">
        <v>37</v>
      </c>
      <c r="K15" s="16" t="n">
        <v>1</v>
      </c>
      <c r="L15" s="16" t="n">
        <v>1</v>
      </c>
      <c r="M15" s="16"/>
      <c r="N15" s="16"/>
      <c r="O15" s="18"/>
      <c r="P15" s="19" t="n">
        <f aca="false">IFERROR((IF(ISNUMBER(C15),C15*3,0)+IF(ISNUMBER(D15),D15*3,0)+IF(ISNUMBER(E15),E15*3,0)+IF(ISNUMBER(F15),F15*3,0)+IF(ISNUMBER(G15),G15*3,0)+IF(ISNUMBER(H15),H15*3,0)+IF(ISNUMBER(I15),I15*2,0)+IF(ISNUMBER(J15),J15*2,0)+IF(ISNUMBER(K15),K15*2,0)+IF(ISNUMBER(L15),L15*2,0)+IF(ISNUMBER(M15),M15*2,0)+IF(ISNUMBER(N15),N15*2,0)+IF(ISNUMBER(O15),O15*1,0))/(IF(ISNUMBER(C15),3,0)+IF(ISNUMBER(D15),3,0)+IF(ISNUMBER(E15),3,0)+IF(ISNUMBER(F15),3,0)+IF(ISNUMBER(G15),3,0)+IF(ISNUMBER(H15),3,0)+IF(ISNUMBER(I15),2,0)+IF(ISNUMBER(J15),2,0)+IF(ISNUMBER(K15),2,0)+IF(ISNUMBER(L15),2,0)+IF(ISNUMBER(M15),2,0)+IF(ISNUMBER(N15),2,0)+IF(ISNUMBER(O15),1,0)),"")</f>
        <v>1.16666666666667</v>
      </c>
      <c r="Q15" s="20" t="n">
        <v>99</v>
      </c>
      <c r="R15" s="16" t="n">
        <v>92</v>
      </c>
      <c r="S15" s="20" t="n">
        <v>87</v>
      </c>
      <c r="T15" s="20" t="n">
        <v>92</v>
      </c>
      <c r="U15" s="16"/>
      <c r="V15" s="20"/>
      <c r="W15" s="20"/>
      <c r="X15" s="16"/>
      <c r="Y15" s="21" t="n">
        <f aca="false">IF(ISBLANK(B15),"",COUNTIF(Q15:X15,"&gt;0")+IF(UPPER(AI15)="PODVOD",1,IF(ISNUMBER(AI15),AI15,0)))</f>
        <v>4</v>
      </c>
      <c r="Z15" s="22" t="n">
        <f aca="false">IF(ISBLANK(B15),"",IF(Y15=0,0,Y15/$AH$2))</f>
        <v>1</v>
      </c>
      <c r="AA15" s="23" t="n">
        <f aca="false">IF(ISBLANK(B15),"",IF(Y15&lt;3,0,IF((IF(ISNUMBER(Q15),IF(Q15&gt;=60,1,0),0)+IF(ISNUMBER(R15),IF(R15&gt;=60,1,0),0)+IF(ISNUMBER(S15),IF(S15&gt;=60,1,0),0)+IF(ISNUMBER(T15),IF(T15&gt;=60,1,0),0)+IF(ISNUMBER(U15),IF(U15&gt;=60,1,0),0)+IF(ISNUMBER(V15),IF(V15&gt;=60,1,0),0)+IF(ISNUMBER(W15),IF(W15&gt;=60,1,0),0)+IF(ISNUMBER(X15),IF(X15&gt;=60,1,0),0))&gt;0,(IF(ISNUMBER(Q15),IF(Q15&gt;=90,-0.25,IF(Q15&gt;=75,-0.15,-0.1)),0)+IF(ISNUMBER(R15),IF(R15&gt;=90,-0.25,IF(R15&gt;=75,-0.15,-0.1)),0)+IF(ISNUMBER(S15),IF(S15&gt;=90,-0.25,IF(S15&gt;=75,-0.15,-0.1)),0)+IF(ISNUMBER(T15),IF(T15&gt;=90,-0.25,IF(T15&gt;=75,-0.15,-0.1)),0)+IF(ISNUMBER(U15),IF(U15&gt;=90,-0.25,IF(U15&gt;=75,-0.15,-0.1)),0)+IF(ISNUMBER(V15),IF(V15&gt;=90,-0.25,IF(V15&gt;=75,-0.15,-0.1)),0)+IF(ISNUMBER(W15),IF(W15&gt;=90,-0.25,IF(W15&gt;=75,-0.15,-0.1)),0)+IF(ISNUMBER(X15),IF(X15&gt;=90,-0.25,IF(X15&gt;=75,-0.15,-0.1)),0))/(IF(ISNUMBER(Q15),IF(Q15&gt;=60,1,0),0)+IF(ISNUMBER(R15),IF(R15&gt;=60,1,0),0)+IF(ISNUMBER(S15),IF(S15&gt;=60,1,0),0)+IF(ISNUMBER(T15),IF(T15&gt;=60,1,0),0)+IF(ISNUMBER(U15),IF(U15&gt;=60,1,0),0)+IF(ISNUMBER(V15),IF(V15&gt;=60,1,0),0)+IF(ISNUMBER(W15),IF(W15&gt;=60,1,0),0)+IF(ISNUMBER(X15),IF(X15&gt;=60,1,0),0)),0)))</f>
        <v>-0.225</v>
      </c>
      <c r="AB15" s="24" t="n">
        <f aca="false">IF(ISBLANK(B15),"",IF(AND(Y15&gt;=3,Z15&gt;=0.75),-0.15,0))</f>
        <v>-0.15</v>
      </c>
      <c r="AC15" s="25" t="n">
        <f aca="false">AA15+AB15</f>
        <v>-0.375</v>
      </c>
      <c r="AD15" s="23" t="n">
        <f aca="false">P15+AC15</f>
        <v>0.791666666666667</v>
      </c>
      <c r="AE15" s="26" t="n">
        <f aca="false">IF(ISBLANK(B15),"",IFERROR(IF(ISNUMBER(AD15),IF(AD15&lt;=1.5,1,IF(AD15&lt;=2.5,2,IF(AD15&lt;=3.5,3,IF(AD15&lt;=4.5,4,5)))),""),""))</f>
        <v>1</v>
      </c>
      <c r="AF15" s="27" t="s">
        <v>77</v>
      </c>
      <c r="AG15" s="32" t="s">
        <v>78</v>
      </c>
      <c r="AH15" s="33"/>
      <c r="AI15" s="30"/>
      <c r="AJ15" s="31" t="n">
        <f aca="false">COUNTIF(Q15:X15,"P")*0.2</f>
        <v>0</v>
      </c>
    </row>
    <row r="16" customFormat="false" ht="18" hidden="false" customHeight="true" outlineLevel="0" collapsed="false">
      <c r="A16" s="16" t="n">
        <v>15</v>
      </c>
      <c r="B16" s="17" t="s">
        <v>79</v>
      </c>
      <c r="C16" s="16" t="n">
        <v>2</v>
      </c>
      <c r="D16" s="16" t="n">
        <v>1</v>
      </c>
      <c r="E16" s="16" t="n">
        <v>1</v>
      </c>
      <c r="F16" s="16" t="n">
        <v>2</v>
      </c>
      <c r="G16" s="16"/>
      <c r="H16" s="16"/>
      <c r="I16" s="16" t="s">
        <v>37</v>
      </c>
      <c r="J16" s="16" t="n">
        <v>1</v>
      </c>
      <c r="K16" s="16" t="s">
        <v>37</v>
      </c>
      <c r="L16" s="16" t="n">
        <v>1</v>
      </c>
      <c r="M16" s="16"/>
      <c r="N16" s="16"/>
      <c r="O16" s="18"/>
      <c r="P16" s="19" t="n">
        <f aca="false">IFERROR((IF(ISNUMBER(C16),C16*3,0)+IF(ISNUMBER(D16),D16*3,0)+IF(ISNUMBER(E16),E16*3,0)+IF(ISNUMBER(F16),F16*3,0)+IF(ISNUMBER(G16),G16*3,0)+IF(ISNUMBER(H16),H16*3,0)+IF(ISNUMBER(I16),I16*2,0)+IF(ISNUMBER(J16),J16*2,0)+IF(ISNUMBER(K16),K16*2,0)+IF(ISNUMBER(L16),L16*2,0)+IF(ISNUMBER(M16),M16*2,0)+IF(ISNUMBER(N16),N16*2,0)+IF(ISNUMBER(O16),O16*1,0))/(IF(ISNUMBER(C16),3,0)+IF(ISNUMBER(D16),3,0)+IF(ISNUMBER(E16),3,0)+IF(ISNUMBER(F16),3,0)+IF(ISNUMBER(G16),3,0)+IF(ISNUMBER(H16),3,0)+IF(ISNUMBER(I16),2,0)+IF(ISNUMBER(J16),2,0)+IF(ISNUMBER(K16),2,0)+IF(ISNUMBER(L16),2,0)+IF(ISNUMBER(M16),2,0)+IF(ISNUMBER(N16),2,0)+IF(ISNUMBER(O16),1,0)),"")</f>
        <v>1.375</v>
      </c>
      <c r="Q16" s="20" t="n">
        <v>100</v>
      </c>
      <c r="R16" s="16" t="n">
        <v>94</v>
      </c>
      <c r="S16" s="20" t="n">
        <v>98</v>
      </c>
      <c r="T16" s="20" t="n">
        <v>94</v>
      </c>
      <c r="U16" s="16"/>
      <c r="V16" s="20"/>
      <c r="W16" s="20"/>
      <c r="X16" s="16"/>
      <c r="Y16" s="21" t="n">
        <f aca="false">IF(ISBLANK(B16),"",COUNTIF(Q16:X16,"&gt;0")+IF(UPPER(AI16)="PODVOD",1,IF(ISNUMBER(AI16),AI16,0)))</f>
        <v>4</v>
      </c>
      <c r="Z16" s="22" t="n">
        <f aca="false">IF(ISBLANK(B16),"",IF(Y16=0,0,Y16/$AH$2))</f>
        <v>1</v>
      </c>
      <c r="AA16" s="23" t="n">
        <f aca="false">IF(ISBLANK(B16),"",IF(Y16&lt;3,0,IF((IF(ISNUMBER(Q16),IF(Q16&gt;=60,1,0),0)+IF(ISNUMBER(R16),IF(R16&gt;=60,1,0),0)+IF(ISNUMBER(S16),IF(S16&gt;=60,1,0),0)+IF(ISNUMBER(T16),IF(T16&gt;=60,1,0),0)+IF(ISNUMBER(U16),IF(U16&gt;=60,1,0),0)+IF(ISNUMBER(V16),IF(V16&gt;=60,1,0),0)+IF(ISNUMBER(W16),IF(W16&gt;=60,1,0),0)+IF(ISNUMBER(X16),IF(X16&gt;=60,1,0),0))&gt;0,(IF(ISNUMBER(Q16),IF(Q16&gt;=90,-0.25,IF(Q16&gt;=75,-0.15,-0.1)),0)+IF(ISNUMBER(R16),IF(R16&gt;=90,-0.25,IF(R16&gt;=75,-0.15,-0.1)),0)+IF(ISNUMBER(S16),IF(S16&gt;=90,-0.25,IF(S16&gt;=75,-0.15,-0.1)),0)+IF(ISNUMBER(T16),IF(T16&gt;=90,-0.25,IF(T16&gt;=75,-0.15,-0.1)),0)+IF(ISNUMBER(U16),IF(U16&gt;=90,-0.25,IF(U16&gt;=75,-0.15,-0.1)),0)+IF(ISNUMBER(V16),IF(V16&gt;=90,-0.25,IF(V16&gt;=75,-0.15,-0.1)),0)+IF(ISNUMBER(W16),IF(W16&gt;=90,-0.25,IF(W16&gt;=75,-0.15,-0.1)),0)+IF(ISNUMBER(X16),IF(X16&gt;=90,-0.25,IF(X16&gt;=75,-0.15,-0.1)),0))/(IF(ISNUMBER(Q16),IF(Q16&gt;=60,1,0),0)+IF(ISNUMBER(R16),IF(R16&gt;=60,1,0),0)+IF(ISNUMBER(S16),IF(S16&gt;=60,1,0),0)+IF(ISNUMBER(T16),IF(T16&gt;=60,1,0),0)+IF(ISNUMBER(U16),IF(U16&gt;=60,1,0),0)+IF(ISNUMBER(V16),IF(V16&gt;=60,1,0),0)+IF(ISNUMBER(W16),IF(W16&gt;=60,1,0),0)+IF(ISNUMBER(X16),IF(X16&gt;=60,1,0),0)),0)))</f>
        <v>-0.25</v>
      </c>
      <c r="AB16" s="24" t="n">
        <f aca="false">IF(ISBLANK(B16),"",IF(AND(Y16&gt;=3,Z16&gt;=0.75),-0.15,0))</f>
        <v>-0.15</v>
      </c>
      <c r="AC16" s="25" t="n">
        <f aca="false">AA16+AB16</f>
        <v>-0.4</v>
      </c>
      <c r="AD16" s="23" t="n">
        <f aca="false">P16+AC16</f>
        <v>0.975</v>
      </c>
      <c r="AE16" s="26" t="n">
        <f aca="false">IF(ISBLANK(B16),"",IFERROR(IF(ISNUMBER(AD16),IF(AD16&lt;=1.5,1,IF(AD16&lt;=2.5,2,IF(AD16&lt;=3.5,3,IF(AD16&lt;=4.5,4,5)))),""),""))</f>
        <v>1</v>
      </c>
      <c r="AF16" s="27" t="s">
        <v>80</v>
      </c>
      <c r="AG16" s="28" t="s">
        <v>81</v>
      </c>
      <c r="AH16" s="33"/>
      <c r="AI16" s="30"/>
      <c r="AJ16" s="31" t="n">
        <f aca="false">COUNTIF(Q16:X16,"P")*0.2</f>
        <v>0</v>
      </c>
    </row>
    <row r="17" customFormat="false" ht="18" hidden="false" customHeight="true" outlineLevel="0" collapsed="false">
      <c r="A17" s="16" t="n">
        <v>16</v>
      </c>
      <c r="B17" s="17" t="s">
        <v>82</v>
      </c>
      <c r="C17" s="16" t="s">
        <v>37</v>
      </c>
      <c r="D17" s="16" t="n">
        <v>1</v>
      </c>
      <c r="E17" s="16" t="n">
        <v>1</v>
      </c>
      <c r="F17" s="16" t="n">
        <v>2</v>
      </c>
      <c r="G17" s="16"/>
      <c r="H17" s="16"/>
      <c r="I17" s="16" t="n">
        <v>1</v>
      </c>
      <c r="J17" s="16" t="n">
        <v>1</v>
      </c>
      <c r="K17" s="16" t="s">
        <v>37</v>
      </c>
      <c r="L17" s="16" t="n">
        <v>1</v>
      </c>
      <c r="M17" s="16"/>
      <c r="N17" s="16"/>
      <c r="O17" s="18" t="n">
        <v>1</v>
      </c>
      <c r="P17" s="19" t="n">
        <f aca="false">IFERROR((IF(ISNUMBER(C17),C17*3,0)+IF(ISNUMBER(D17),D17*3,0)+IF(ISNUMBER(E17),E17*3,0)+IF(ISNUMBER(F17),F17*3,0)+IF(ISNUMBER(G17),G17*3,0)+IF(ISNUMBER(H17),H17*3,0)+IF(ISNUMBER(I17),I17*2,0)+IF(ISNUMBER(J17),J17*2,0)+IF(ISNUMBER(K17),K17*2,0)+IF(ISNUMBER(L17),L17*2,0)+IF(ISNUMBER(M17),M17*2,0)+IF(ISNUMBER(N17),N17*2,0)+IF(ISNUMBER(O17),O17*1,0))/(IF(ISNUMBER(C17),3,0)+IF(ISNUMBER(D17),3,0)+IF(ISNUMBER(E17),3,0)+IF(ISNUMBER(F17),3,0)+IF(ISNUMBER(G17),3,0)+IF(ISNUMBER(H17),3,0)+IF(ISNUMBER(I17),2,0)+IF(ISNUMBER(J17),2,0)+IF(ISNUMBER(K17),2,0)+IF(ISNUMBER(L17),2,0)+IF(ISNUMBER(M17),2,0)+IF(ISNUMBER(N17),2,0)+IF(ISNUMBER(O17),1,0)),"")</f>
        <v>1.1875</v>
      </c>
      <c r="Q17" s="20"/>
      <c r="R17" s="16"/>
      <c r="S17" s="20"/>
      <c r="T17" s="20"/>
      <c r="U17" s="16"/>
      <c r="V17" s="20"/>
      <c r="W17" s="20"/>
      <c r="X17" s="16"/>
      <c r="Y17" s="21" t="n">
        <f aca="false">IF(ISBLANK(B17),"",COUNTIF(Q17:X17,"&gt;0")+IF(UPPER(AI17)="PODVOD",1,IF(ISNUMBER(AI17),AI17,0)))</f>
        <v>0</v>
      </c>
      <c r="Z17" s="22" t="n">
        <f aca="false">IF(ISBLANK(B17),"",IF(Y17=0,0,Y17/$AH$2))</f>
        <v>0</v>
      </c>
      <c r="AA17" s="23" t="n">
        <f aca="false">IF(ISBLANK(B17),"",IF(Y17&lt;3,0,IF((IF(ISNUMBER(Q17),IF(Q17&gt;=60,1,0),0)+IF(ISNUMBER(R17),IF(R17&gt;=60,1,0),0)+IF(ISNUMBER(S17),IF(S17&gt;=60,1,0),0)+IF(ISNUMBER(T17),IF(T17&gt;=60,1,0),0)+IF(ISNUMBER(U17),IF(U17&gt;=60,1,0),0)+IF(ISNUMBER(V17),IF(V17&gt;=60,1,0),0)+IF(ISNUMBER(W17),IF(W17&gt;=60,1,0),0)+IF(ISNUMBER(X17),IF(X17&gt;=60,1,0),0))&gt;0,(IF(ISNUMBER(Q17),IF(Q17&gt;=90,-0.25,IF(Q17&gt;=75,-0.15,-0.1)),0)+IF(ISNUMBER(R17),IF(R17&gt;=90,-0.25,IF(R17&gt;=75,-0.15,-0.1)),0)+IF(ISNUMBER(S17),IF(S17&gt;=90,-0.25,IF(S17&gt;=75,-0.15,-0.1)),0)+IF(ISNUMBER(T17),IF(T17&gt;=90,-0.25,IF(T17&gt;=75,-0.15,-0.1)),0)+IF(ISNUMBER(U17),IF(U17&gt;=90,-0.25,IF(U17&gt;=75,-0.15,-0.1)),0)+IF(ISNUMBER(V17),IF(V17&gt;=90,-0.25,IF(V17&gt;=75,-0.15,-0.1)),0)+IF(ISNUMBER(W17),IF(W17&gt;=90,-0.25,IF(W17&gt;=75,-0.15,-0.1)),0)+IF(ISNUMBER(X17),IF(X17&gt;=90,-0.25,IF(X17&gt;=75,-0.15,-0.1)),0))/(IF(ISNUMBER(Q17),IF(Q17&gt;=60,1,0),0)+IF(ISNUMBER(R17),IF(R17&gt;=60,1,0),0)+IF(ISNUMBER(S17),IF(S17&gt;=60,1,0),0)+IF(ISNUMBER(T17),IF(T17&gt;=60,1,0),0)+IF(ISNUMBER(U17),IF(U17&gt;=60,1,0),0)+IF(ISNUMBER(V17),IF(V17&gt;=60,1,0),0)+IF(ISNUMBER(W17),IF(W17&gt;=60,1,0),0)+IF(ISNUMBER(X17),IF(X17&gt;=60,1,0),0)),0)))</f>
        <v>0</v>
      </c>
      <c r="AB17" s="24" t="n">
        <f aca="false">IF(ISBLANK(B17),"",IF(AND(Y17&gt;=3,Z17&gt;=0.75),-0.15,0))</f>
        <v>0</v>
      </c>
      <c r="AC17" s="25" t="n">
        <f aca="false">AA17+AB17</f>
        <v>0</v>
      </c>
      <c r="AD17" s="23" t="n">
        <f aca="false">P17+AC17</f>
        <v>1.1875</v>
      </c>
      <c r="AE17" s="26" t="n">
        <f aca="false">IF(ISBLANK(B17),"",IFERROR(IF(ISNUMBER(AD17),IF(AD17&lt;=1.5,1,IF(AD17&lt;=2.5,2,IF(AD17&lt;=3.5,3,IF(AD17&lt;=4.5,4,5)))),""),""))</f>
        <v>1</v>
      </c>
      <c r="AF17" s="27" t="s">
        <v>83</v>
      </c>
      <c r="AG17" s="32" t="s">
        <v>84</v>
      </c>
      <c r="AH17" s="33"/>
      <c r="AI17" s="30"/>
      <c r="AJ17" s="31" t="n">
        <f aca="false">COUNTIF(Q17:X17,"P")*0.2</f>
        <v>0</v>
      </c>
    </row>
    <row r="18" customFormat="false" ht="18" hidden="false" customHeight="true" outlineLevel="0" collapsed="false">
      <c r="A18" s="16" t="n">
        <v>17</v>
      </c>
      <c r="B18" s="17" t="s">
        <v>85</v>
      </c>
      <c r="C18" s="16" t="s">
        <v>37</v>
      </c>
      <c r="D18" s="16" t="n">
        <v>1</v>
      </c>
      <c r="E18" s="16" t="s">
        <v>37</v>
      </c>
      <c r="F18" s="16" t="n">
        <v>1</v>
      </c>
      <c r="G18" s="16"/>
      <c r="H18" s="16"/>
      <c r="I18" s="16" t="n">
        <v>1</v>
      </c>
      <c r="J18" s="16" t="s">
        <v>37</v>
      </c>
      <c r="K18" s="16" t="n">
        <v>1</v>
      </c>
      <c r="L18" s="16" t="n">
        <v>1</v>
      </c>
      <c r="M18" s="16"/>
      <c r="N18" s="16"/>
      <c r="O18" s="18"/>
      <c r="P18" s="19" t="n">
        <f aca="false">IFERROR((IF(ISNUMBER(C18),C18*3,0)+IF(ISNUMBER(D18),D18*3,0)+IF(ISNUMBER(E18),E18*3,0)+IF(ISNUMBER(F18),F18*3,0)+IF(ISNUMBER(G18),G18*3,0)+IF(ISNUMBER(H18),H18*3,0)+IF(ISNUMBER(I18),I18*2,0)+IF(ISNUMBER(J18),J18*2,0)+IF(ISNUMBER(K18),K18*2,0)+IF(ISNUMBER(L18),L18*2,0)+IF(ISNUMBER(M18),M18*2,0)+IF(ISNUMBER(N18),N18*2,0)+IF(ISNUMBER(O18),O18*1,0))/(IF(ISNUMBER(C18),3,0)+IF(ISNUMBER(D18),3,0)+IF(ISNUMBER(E18),3,0)+IF(ISNUMBER(F18),3,0)+IF(ISNUMBER(G18),3,0)+IF(ISNUMBER(H18),3,0)+IF(ISNUMBER(I18),2,0)+IF(ISNUMBER(J18),2,0)+IF(ISNUMBER(K18),2,0)+IF(ISNUMBER(L18),2,0)+IF(ISNUMBER(M18),2,0)+IF(ISNUMBER(N18),2,0)+IF(ISNUMBER(O18),1,0)),"")</f>
        <v>1</v>
      </c>
      <c r="Q18" s="20" t="n">
        <v>98</v>
      </c>
      <c r="R18" s="16" t="n">
        <v>92</v>
      </c>
      <c r="S18" s="20"/>
      <c r="T18" s="20"/>
      <c r="U18" s="16"/>
      <c r="V18" s="20"/>
      <c r="W18" s="20"/>
      <c r="X18" s="16"/>
      <c r="Y18" s="21" t="n">
        <f aca="false">IF(ISBLANK(B18),"",COUNTIF(Q18:X18,"&gt;0")+IF(UPPER(AI18)="PODVOD",1,IF(ISNUMBER(AI18),AI18,0)))</f>
        <v>2</v>
      </c>
      <c r="Z18" s="22" t="n">
        <f aca="false">IF(ISBLANK(B18),"",IF(Y18=0,0,Y18/$AH$2))</f>
        <v>0.5</v>
      </c>
      <c r="AA18" s="23" t="n">
        <f aca="false">IF(ISBLANK(B18),"",IF(Y18&lt;3,0,IF((IF(ISNUMBER(Q18),IF(Q18&gt;=60,1,0),0)+IF(ISNUMBER(R18),IF(R18&gt;=60,1,0),0)+IF(ISNUMBER(S18),IF(S18&gt;=60,1,0),0)+IF(ISNUMBER(T18),IF(T18&gt;=60,1,0),0)+IF(ISNUMBER(U18),IF(U18&gt;=60,1,0),0)+IF(ISNUMBER(V18),IF(V18&gt;=60,1,0),0)+IF(ISNUMBER(W18),IF(W18&gt;=60,1,0),0)+IF(ISNUMBER(X18),IF(X18&gt;=60,1,0),0))&gt;0,(IF(ISNUMBER(Q18),IF(Q18&gt;=90,-0.25,IF(Q18&gt;=75,-0.15,-0.1)),0)+IF(ISNUMBER(R18),IF(R18&gt;=90,-0.25,IF(R18&gt;=75,-0.15,-0.1)),0)+IF(ISNUMBER(S18),IF(S18&gt;=90,-0.25,IF(S18&gt;=75,-0.15,-0.1)),0)+IF(ISNUMBER(T18),IF(T18&gt;=90,-0.25,IF(T18&gt;=75,-0.15,-0.1)),0)+IF(ISNUMBER(U18),IF(U18&gt;=90,-0.25,IF(U18&gt;=75,-0.15,-0.1)),0)+IF(ISNUMBER(V18),IF(V18&gt;=90,-0.25,IF(V18&gt;=75,-0.15,-0.1)),0)+IF(ISNUMBER(W18),IF(W18&gt;=90,-0.25,IF(W18&gt;=75,-0.15,-0.1)),0)+IF(ISNUMBER(X18),IF(X18&gt;=90,-0.25,IF(X18&gt;=75,-0.15,-0.1)),0))/(IF(ISNUMBER(Q18),IF(Q18&gt;=60,1,0),0)+IF(ISNUMBER(R18),IF(R18&gt;=60,1,0),0)+IF(ISNUMBER(S18),IF(S18&gt;=60,1,0),0)+IF(ISNUMBER(T18),IF(T18&gt;=60,1,0),0)+IF(ISNUMBER(U18),IF(U18&gt;=60,1,0),0)+IF(ISNUMBER(V18),IF(V18&gt;=60,1,0),0)+IF(ISNUMBER(W18),IF(W18&gt;=60,1,0),0)+IF(ISNUMBER(X18),IF(X18&gt;=60,1,0),0)),0)))</f>
        <v>0</v>
      </c>
      <c r="AB18" s="24" t="n">
        <f aca="false">IF(ISBLANK(B18),"",IF(AND(Y18&gt;=3,Z18&gt;=0.75),-0.15,0))</f>
        <v>0</v>
      </c>
      <c r="AC18" s="25" t="n">
        <f aca="false">AA18+AB18</f>
        <v>0</v>
      </c>
      <c r="AD18" s="23" t="n">
        <f aca="false">P18+AC18</f>
        <v>1</v>
      </c>
      <c r="AE18" s="26" t="n">
        <f aca="false">IF(ISBLANK(B18),"",IFERROR(IF(ISNUMBER(AD18),IF(AD18&lt;=1.5,1,IF(AD18&lt;=2.5,2,IF(AD18&lt;=3.5,3,IF(AD18&lt;=4.5,4,5)))),""),""))</f>
        <v>1</v>
      </c>
      <c r="AF18" s="27" t="s">
        <v>86</v>
      </c>
      <c r="AG18" s="28" t="s">
        <v>87</v>
      </c>
      <c r="AH18" s="33"/>
      <c r="AI18" s="30"/>
      <c r="AJ18" s="31" t="n">
        <f aca="false">COUNTIF(Q18:X18,"P")*0.2</f>
        <v>0</v>
      </c>
    </row>
    <row r="19" customFormat="false" ht="18" hidden="false" customHeight="true" outlineLevel="0" collapsed="false">
      <c r="A19" s="16" t="n">
        <v>18</v>
      </c>
      <c r="B19" s="17" t="s">
        <v>88</v>
      </c>
      <c r="C19" s="16" t="n">
        <v>2</v>
      </c>
      <c r="D19" s="16" t="n">
        <v>2</v>
      </c>
      <c r="E19" s="16" t="n">
        <v>2</v>
      </c>
      <c r="F19" s="16" t="s">
        <v>37</v>
      </c>
      <c r="G19" s="16"/>
      <c r="H19" s="16"/>
      <c r="I19" s="16" t="n">
        <v>2</v>
      </c>
      <c r="J19" s="16" t="s">
        <v>37</v>
      </c>
      <c r="K19" s="16" t="s">
        <v>37</v>
      </c>
      <c r="L19" s="16" t="s">
        <v>37</v>
      </c>
      <c r="M19" s="16"/>
      <c r="N19" s="16"/>
      <c r="O19" s="18"/>
      <c r="P19" s="19" t="n">
        <f aca="false">IFERROR((IF(ISNUMBER(C19),C19*3,0)+IF(ISNUMBER(D19),D19*3,0)+IF(ISNUMBER(E19),E19*3,0)+IF(ISNUMBER(F19),F19*3,0)+IF(ISNUMBER(G19),G19*3,0)+IF(ISNUMBER(H19),H19*3,0)+IF(ISNUMBER(I19),I19*2,0)+IF(ISNUMBER(J19),J19*2,0)+IF(ISNUMBER(K19),K19*2,0)+IF(ISNUMBER(L19),L19*2,0)+IF(ISNUMBER(M19),M19*2,0)+IF(ISNUMBER(N19),N19*2,0)+IF(ISNUMBER(O19),O19*1,0))/(IF(ISNUMBER(C19),3,0)+IF(ISNUMBER(D19),3,0)+IF(ISNUMBER(E19),3,0)+IF(ISNUMBER(F19),3,0)+IF(ISNUMBER(G19),3,0)+IF(ISNUMBER(H19),3,0)+IF(ISNUMBER(I19),2,0)+IF(ISNUMBER(J19),2,0)+IF(ISNUMBER(K19),2,0)+IF(ISNUMBER(L19),2,0)+IF(ISNUMBER(M19),2,0)+IF(ISNUMBER(N19),2,0)+IF(ISNUMBER(O19),1,0)),"")</f>
        <v>2</v>
      </c>
      <c r="Q19" s="20" t="n">
        <v>99</v>
      </c>
      <c r="R19" s="16" t="n">
        <v>95</v>
      </c>
      <c r="S19" s="20" t="n">
        <v>98</v>
      </c>
      <c r="T19" s="20" t="n">
        <v>94</v>
      </c>
      <c r="U19" s="16"/>
      <c r="V19" s="20"/>
      <c r="W19" s="20"/>
      <c r="X19" s="16"/>
      <c r="Y19" s="21" t="n">
        <f aca="false">IF(ISBLANK(B19),"",COUNTIF(Q19:X19,"&gt;0")+IF(UPPER(AI19)="PODVOD",1,IF(ISNUMBER(AI19),AI19,0)))</f>
        <v>4</v>
      </c>
      <c r="Z19" s="22" t="n">
        <f aca="false">IF(ISBLANK(B19),"",IF(Y19=0,0,Y19/$AH$2))</f>
        <v>1</v>
      </c>
      <c r="AA19" s="23" t="n">
        <f aca="false">IF(ISBLANK(B19),"",IF(Y19&lt;3,0,IF((IF(ISNUMBER(Q19),IF(Q19&gt;=60,1,0),0)+IF(ISNUMBER(R19),IF(R19&gt;=60,1,0),0)+IF(ISNUMBER(S19),IF(S19&gt;=60,1,0),0)+IF(ISNUMBER(T19),IF(T19&gt;=60,1,0),0)+IF(ISNUMBER(U19),IF(U19&gt;=60,1,0),0)+IF(ISNUMBER(V19),IF(V19&gt;=60,1,0),0)+IF(ISNUMBER(W19),IF(W19&gt;=60,1,0),0)+IF(ISNUMBER(X19),IF(X19&gt;=60,1,0),0))&gt;0,(IF(ISNUMBER(Q19),IF(Q19&gt;=90,-0.25,IF(Q19&gt;=75,-0.15,-0.1)),0)+IF(ISNUMBER(R19),IF(R19&gt;=90,-0.25,IF(R19&gt;=75,-0.15,-0.1)),0)+IF(ISNUMBER(S19),IF(S19&gt;=90,-0.25,IF(S19&gt;=75,-0.15,-0.1)),0)+IF(ISNUMBER(T19),IF(T19&gt;=90,-0.25,IF(T19&gt;=75,-0.15,-0.1)),0)+IF(ISNUMBER(U19),IF(U19&gt;=90,-0.25,IF(U19&gt;=75,-0.15,-0.1)),0)+IF(ISNUMBER(V19),IF(V19&gt;=90,-0.25,IF(V19&gt;=75,-0.15,-0.1)),0)+IF(ISNUMBER(W19),IF(W19&gt;=90,-0.25,IF(W19&gt;=75,-0.15,-0.1)),0)+IF(ISNUMBER(X19),IF(X19&gt;=90,-0.25,IF(X19&gt;=75,-0.15,-0.1)),0))/(IF(ISNUMBER(Q19),IF(Q19&gt;=60,1,0),0)+IF(ISNUMBER(R19),IF(R19&gt;=60,1,0),0)+IF(ISNUMBER(S19),IF(S19&gt;=60,1,0),0)+IF(ISNUMBER(T19),IF(T19&gt;=60,1,0),0)+IF(ISNUMBER(U19),IF(U19&gt;=60,1,0),0)+IF(ISNUMBER(V19),IF(V19&gt;=60,1,0),0)+IF(ISNUMBER(W19),IF(W19&gt;=60,1,0),0)+IF(ISNUMBER(X19),IF(X19&gt;=60,1,0),0)),0)))</f>
        <v>-0.25</v>
      </c>
      <c r="AB19" s="24" t="n">
        <f aca="false">IF(ISBLANK(B19),"",IF(AND(Y19&gt;=3,Z19&gt;=0.75),-0.15,0))</f>
        <v>-0.15</v>
      </c>
      <c r="AC19" s="25" t="n">
        <f aca="false">AA19+AB19</f>
        <v>-0.4</v>
      </c>
      <c r="AD19" s="23" t="n">
        <f aca="false">P19+AC19</f>
        <v>1.6</v>
      </c>
      <c r="AE19" s="26" t="n">
        <f aca="false">IF(ISBLANK(B19),"",IFERROR(IF(ISNUMBER(AD19),IF(AD19&lt;=1.5,1,IF(AD19&lt;=2.5,2,IF(AD19&lt;=3.5,3,IF(AD19&lt;=4.5,4,5)))),""),""))</f>
        <v>2</v>
      </c>
      <c r="AF19" s="27" t="s">
        <v>89</v>
      </c>
      <c r="AG19" s="32" t="s">
        <v>90</v>
      </c>
      <c r="AH19" s="33"/>
      <c r="AI19" s="30"/>
      <c r="AJ19" s="31" t="n">
        <f aca="false">COUNTIF(Q19:X19,"P")*0.2</f>
        <v>0</v>
      </c>
    </row>
    <row r="20" customFormat="false" ht="18" hidden="false" customHeight="true" outlineLevel="0" collapsed="false">
      <c r="A20" s="16" t="n">
        <v>19</v>
      </c>
      <c r="B20" s="17" t="s">
        <v>91</v>
      </c>
      <c r="C20" s="16" t="n">
        <v>3</v>
      </c>
      <c r="D20" s="16" t="n">
        <v>1</v>
      </c>
      <c r="E20" s="16" t="n">
        <v>2</v>
      </c>
      <c r="F20" s="16" t="n">
        <v>3</v>
      </c>
      <c r="G20" s="16"/>
      <c r="H20" s="16"/>
      <c r="I20" s="16" t="n">
        <v>1</v>
      </c>
      <c r="J20" s="16" t="s">
        <v>37</v>
      </c>
      <c r="K20" s="16" t="n">
        <v>2</v>
      </c>
      <c r="L20" s="16" t="n">
        <v>1</v>
      </c>
      <c r="M20" s="16"/>
      <c r="N20" s="16"/>
      <c r="O20" s="18"/>
      <c r="P20" s="19" t="n">
        <f aca="false">IFERROR((IF(ISNUMBER(C20),C20*3,0)+IF(ISNUMBER(D20),D20*3,0)+IF(ISNUMBER(E20),E20*3,0)+IF(ISNUMBER(F20),F20*3,0)+IF(ISNUMBER(G20),G20*3,0)+IF(ISNUMBER(H20),H20*3,0)+IF(ISNUMBER(I20),I20*2,0)+IF(ISNUMBER(J20),J20*2,0)+IF(ISNUMBER(K20),K20*2,0)+IF(ISNUMBER(L20),L20*2,0)+IF(ISNUMBER(M20),M20*2,0)+IF(ISNUMBER(N20),N20*2,0)+IF(ISNUMBER(O20),O20*1,0))/(IF(ISNUMBER(C20),3,0)+IF(ISNUMBER(D20),3,0)+IF(ISNUMBER(E20),3,0)+IF(ISNUMBER(F20),3,0)+IF(ISNUMBER(G20),3,0)+IF(ISNUMBER(H20),3,0)+IF(ISNUMBER(I20),2,0)+IF(ISNUMBER(J20),2,0)+IF(ISNUMBER(K20),2,0)+IF(ISNUMBER(L20),2,0)+IF(ISNUMBER(M20),2,0)+IF(ISNUMBER(N20),2,0)+IF(ISNUMBER(O20),1,0)),"")</f>
        <v>1.94444444444444</v>
      </c>
      <c r="Q20" s="20"/>
      <c r="R20" s="16"/>
      <c r="S20" s="20"/>
      <c r="T20" s="20"/>
      <c r="U20" s="16"/>
      <c r="V20" s="20"/>
      <c r="W20" s="20"/>
      <c r="X20" s="16"/>
      <c r="Y20" s="21" t="n">
        <f aca="false">IF(ISBLANK(B20),"",COUNTIF(Q20:X20,"&gt;0")+IF(UPPER(AI20)="PODVOD",1,IF(ISNUMBER(AI20),AI20,0)))</f>
        <v>0</v>
      </c>
      <c r="Z20" s="22" t="n">
        <f aca="false">IF(ISBLANK(B20),"",IF(Y20=0,0,Y20/$AH$2))</f>
        <v>0</v>
      </c>
      <c r="AA20" s="23" t="n">
        <f aca="false">IF(ISBLANK(B20),"",IF(Y20&lt;3,0,IF((IF(ISNUMBER(Q20),IF(Q20&gt;=60,1,0),0)+IF(ISNUMBER(R20),IF(R20&gt;=60,1,0),0)+IF(ISNUMBER(S20),IF(S20&gt;=60,1,0),0)+IF(ISNUMBER(T20),IF(T20&gt;=60,1,0),0)+IF(ISNUMBER(U20),IF(U20&gt;=60,1,0),0)+IF(ISNUMBER(V20),IF(V20&gt;=60,1,0),0)+IF(ISNUMBER(W20),IF(W20&gt;=60,1,0),0)+IF(ISNUMBER(X20),IF(X20&gt;=60,1,0),0))&gt;0,(IF(ISNUMBER(Q20),IF(Q20&gt;=90,-0.25,IF(Q20&gt;=75,-0.15,-0.1)),0)+IF(ISNUMBER(R20),IF(R20&gt;=90,-0.25,IF(R20&gt;=75,-0.15,-0.1)),0)+IF(ISNUMBER(S20),IF(S20&gt;=90,-0.25,IF(S20&gt;=75,-0.15,-0.1)),0)+IF(ISNUMBER(T20),IF(T20&gt;=90,-0.25,IF(T20&gt;=75,-0.15,-0.1)),0)+IF(ISNUMBER(U20),IF(U20&gt;=90,-0.25,IF(U20&gt;=75,-0.15,-0.1)),0)+IF(ISNUMBER(V20),IF(V20&gt;=90,-0.25,IF(V20&gt;=75,-0.15,-0.1)),0)+IF(ISNUMBER(W20),IF(W20&gt;=90,-0.25,IF(W20&gt;=75,-0.15,-0.1)),0)+IF(ISNUMBER(X20),IF(X20&gt;=90,-0.25,IF(X20&gt;=75,-0.15,-0.1)),0))/(IF(ISNUMBER(Q20),IF(Q20&gt;=60,1,0),0)+IF(ISNUMBER(R20),IF(R20&gt;=60,1,0),0)+IF(ISNUMBER(S20),IF(S20&gt;=60,1,0),0)+IF(ISNUMBER(T20),IF(T20&gt;=60,1,0),0)+IF(ISNUMBER(U20),IF(U20&gt;=60,1,0),0)+IF(ISNUMBER(V20),IF(V20&gt;=60,1,0),0)+IF(ISNUMBER(W20),IF(W20&gt;=60,1,0),0)+IF(ISNUMBER(X20),IF(X20&gt;=60,1,0),0)),0)))</f>
        <v>0</v>
      </c>
      <c r="AB20" s="24" t="n">
        <f aca="false">IF(ISBLANK(B20),"",IF(AND(Y20&gt;=3,Z20&gt;=0.75),-0.15,0))</f>
        <v>0</v>
      </c>
      <c r="AC20" s="25" t="n">
        <f aca="false">AA20+AB20</f>
        <v>0</v>
      </c>
      <c r="AD20" s="23" t="n">
        <f aca="false">P20+AC20</f>
        <v>1.94444444444444</v>
      </c>
      <c r="AE20" s="26" t="n">
        <f aca="false">IF(ISBLANK(B20),"",IFERROR(IF(ISNUMBER(AD20),IF(AD20&lt;=1.5,1,IF(AD20&lt;=2.5,2,IF(AD20&lt;=3.5,3,IF(AD20&lt;=4.5,4,5)))),""),""))</f>
        <v>2</v>
      </c>
      <c r="AF20" s="27" t="s">
        <v>92</v>
      </c>
      <c r="AG20" s="28" t="s">
        <v>93</v>
      </c>
      <c r="AH20" s="33"/>
      <c r="AI20" s="30"/>
      <c r="AJ20" s="31" t="n">
        <f aca="false">COUNTIF(Q20:X20,"P")*0.2</f>
        <v>0</v>
      </c>
    </row>
    <row r="21" customFormat="false" ht="18" hidden="false" customHeight="true" outlineLevel="0" collapsed="false">
      <c r="A21" s="16" t="n">
        <v>20</v>
      </c>
      <c r="B21" s="17" t="s">
        <v>94</v>
      </c>
      <c r="C21" s="16" t="n">
        <v>2</v>
      </c>
      <c r="D21" s="16" t="n">
        <v>2</v>
      </c>
      <c r="E21" s="16" t="n">
        <v>1</v>
      </c>
      <c r="F21" s="16" t="n">
        <v>2</v>
      </c>
      <c r="G21" s="16"/>
      <c r="H21" s="16"/>
      <c r="I21" s="16" t="n">
        <v>2</v>
      </c>
      <c r="J21" s="16" t="n">
        <v>1</v>
      </c>
      <c r="K21" s="16" t="n">
        <v>2</v>
      </c>
      <c r="L21" s="16" t="n">
        <v>2</v>
      </c>
      <c r="M21" s="16"/>
      <c r="N21" s="16"/>
      <c r="O21" s="18"/>
      <c r="P21" s="19" t="n">
        <f aca="false">IFERROR((IF(ISNUMBER(C21),C21*3,0)+IF(ISNUMBER(D21),D21*3,0)+IF(ISNUMBER(E21),E21*3,0)+IF(ISNUMBER(F21),F21*3,0)+IF(ISNUMBER(G21),G21*3,0)+IF(ISNUMBER(H21),H21*3,0)+IF(ISNUMBER(I21),I21*2,0)+IF(ISNUMBER(J21),J21*2,0)+IF(ISNUMBER(K21),K21*2,0)+IF(ISNUMBER(L21),L21*2,0)+IF(ISNUMBER(M21),M21*2,0)+IF(ISNUMBER(N21),N21*2,0)+IF(ISNUMBER(O21),O21*1,0))/(IF(ISNUMBER(C21),3,0)+IF(ISNUMBER(D21),3,0)+IF(ISNUMBER(E21),3,0)+IF(ISNUMBER(F21),3,0)+IF(ISNUMBER(G21),3,0)+IF(ISNUMBER(H21),3,0)+IF(ISNUMBER(I21),2,0)+IF(ISNUMBER(J21),2,0)+IF(ISNUMBER(K21),2,0)+IF(ISNUMBER(L21),2,0)+IF(ISNUMBER(M21),2,0)+IF(ISNUMBER(N21),2,0)+IF(ISNUMBER(O21),1,0)),"")</f>
        <v>1.75</v>
      </c>
      <c r="Q21" s="20" t="n">
        <v>99</v>
      </c>
      <c r="R21" s="20" t="n">
        <v>92</v>
      </c>
      <c r="S21" s="20" t="n">
        <v>96</v>
      </c>
      <c r="T21" s="20" t="s">
        <v>67</v>
      </c>
      <c r="U21" s="20"/>
      <c r="V21" s="20"/>
      <c r="W21" s="20"/>
      <c r="X21" s="20"/>
      <c r="Y21" s="21" t="n">
        <f aca="false">IF(ISBLANK(B21),"",COUNTIF(Q21:X21,"&gt;0")+IF(UPPER(AI21)="PODVOD",1,IF(ISNUMBER(AI21),AI21,0)))</f>
        <v>3</v>
      </c>
      <c r="Z21" s="22" t="n">
        <f aca="false">IF(ISBLANK(B21),"",IF(Y21=0,0,Y21/$AH$2))</f>
        <v>0.75</v>
      </c>
      <c r="AA21" s="23" t="n">
        <f aca="false">IF(ISBLANK(B21),"",IF(Y21&lt;3,0,IF((IF(ISNUMBER(Q21),IF(Q21&gt;=60,1,0),0)+IF(ISNUMBER(R21),IF(R21&gt;=60,1,0),0)+IF(ISNUMBER(S21),IF(S21&gt;=60,1,0),0)+IF(ISNUMBER(T21),IF(T21&gt;=60,1,0),0)+IF(ISNUMBER(U21),IF(U21&gt;=60,1,0),0)+IF(ISNUMBER(V21),IF(V21&gt;=60,1,0),0)+IF(ISNUMBER(W21),IF(W21&gt;=60,1,0),0)+IF(ISNUMBER(X21),IF(X21&gt;=60,1,0),0))&gt;0,(IF(ISNUMBER(Q21),IF(Q21&gt;=90,-0.25,IF(Q21&gt;=75,-0.15,-0.1)),0)+IF(ISNUMBER(R21),IF(R21&gt;=90,-0.25,IF(R21&gt;=75,-0.15,-0.1)),0)+IF(ISNUMBER(S21),IF(S21&gt;=90,-0.25,IF(S21&gt;=75,-0.15,-0.1)),0)+IF(ISNUMBER(T21),IF(T21&gt;=90,-0.25,IF(T21&gt;=75,-0.15,-0.1)),0)+IF(ISNUMBER(U21),IF(U21&gt;=90,-0.25,IF(U21&gt;=75,-0.15,-0.1)),0)+IF(ISNUMBER(V21),IF(V21&gt;=90,-0.25,IF(V21&gt;=75,-0.15,-0.1)),0)+IF(ISNUMBER(W21),IF(W21&gt;=90,-0.25,IF(W21&gt;=75,-0.15,-0.1)),0)+IF(ISNUMBER(X21),IF(X21&gt;=90,-0.25,IF(X21&gt;=75,-0.15,-0.1)),0))/(IF(ISNUMBER(Q21),IF(Q21&gt;=60,1,0),0)+IF(ISNUMBER(R21),IF(R21&gt;=60,1,0),0)+IF(ISNUMBER(S21),IF(S21&gt;=60,1,0),0)+IF(ISNUMBER(T21),IF(T21&gt;=60,1,0),0)+IF(ISNUMBER(U21),IF(U21&gt;=60,1,0),0)+IF(ISNUMBER(V21),IF(V21&gt;=60,1,0),0)+IF(ISNUMBER(W21),IF(W21&gt;=60,1,0),0)+IF(ISNUMBER(X21),IF(X21&gt;=60,1,0),0)),0)))</f>
        <v>-0.25</v>
      </c>
      <c r="AB21" s="24" t="n">
        <f aca="false">IF(ISBLANK(B21),"",IF(AND(Y21&gt;=3,Z21&gt;=0.75),-0.15,0))</f>
        <v>-0.15</v>
      </c>
      <c r="AC21" s="25" t="n">
        <f aca="false">AA21+AB21</f>
        <v>-0.4</v>
      </c>
      <c r="AD21" s="23" t="n">
        <f aca="false">P21+AC21</f>
        <v>1.35</v>
      </c>
      <c r="AE21" s="26" t="n">
        <f aca="false">IF(ISBLANK(B21),"",IFERROR(IF(ISNUMBER(AD21),IF(AD21&lt;=1.5,1,IF(AD21&lt;=2.5,2,IF(AD21&lt;=3.5,3,IF(AD21&lt;=4.5,4,5)))),""),""))</f>
        <v>1</v>
      </c>
      <c r="AF21" s="27" t="s">
        <v>95</v>
      </c>
      <c r="AG21" s="32" t="s">
        <v>96</v>
      </c>
      <c r="AH21" s="33"/>
      <c r="AI21" s="30"/>
      <c r="AJ21" s="31" t="n">
        <f aca="false">COUNTIF(Q21:X21,"P")*0.2</f>
        <v>0.2</v>
      </c>
    </row>
    <row r="22" customFormat="false" ht="18" hidden="false" customHeight="true" outlineLevel="0" collapsed="false">
      <c r="A22" s="16" t="n">
        <v>21</v>
      </c>
      <c r="B22" s="17" t="s">
        <v>97</v>
      </c>
      <c r="C22" s="16" t="n">
        <v>2</v>
      </c>
      <c r="D22" s="16" t="n">
        <v>1</v>
      </c>
      <c r="E22" s="16" t="n">
        <v>1</v>
      </c>
      <c r="F22" s="16" t="s">
        <v>37</v>
      </c>
      <c r="G22" s="16"/>
      <c r="H22" s="16"/>
      <c r="I22" s="16" t="n">
        <v>1</v>
      </c>
      <c r="J22" s="16" t="s">
        <v>37</v>
      </c>
      <c r="K22" s="16" t="s">
        <v>37</v>
      </c>
      <c r="L22" s="16" t="n">
        <v>1</v>
      </c>
      <c r="M22" s="16"/>
      <c r="N22" s="16"/>
      <c r="O22" s="18"/>
      <c r="P22" s="19" t="n">
        <f aca="false">IFERROR((IF(ISNUMBER(C22),C22*3,0)+IF(ISNUMBER(D22),D22*3,0)+IF(ISNUMBER(E22),E22*3,0)+IF(ISNUMBER(F22),F22*3,0)+IF(ISNUMBER(G22),G22*3,0)+IF(ISNUMBER(H22),H22*3,0)+IF(ISNUMBER(I22),I22*2,0)+IF(ISNUMBER(J22),J22*2,0)+IF(ISNUMBER(K22),K22*2,0)+IF(ISNUMBER(L22),L22*2,0)+IF(ISNUMBER(M22),M22*2,0)+IF(ISNUMBER(N22),N22*2,0)+IF(ISNUMBER(O22),O22*1,0))/(IF(ISNUMBER(C22),3,0)+IF(ISNUMBER(D22),3,0)+IF(ISNUMBER(E22),3,0)+IF(ISNUMBER(F22),3,0)+IF(ISNUMBER(G22),3,0)+IF(ISNUMBER(H22),3,0)+IF(ISNUMBER(I22),2,0)+IF(ISNUMBER(J22),2,0)+IF(ISNUMBER(K22),2,0)+IF(ISNUMBER(L22),2,0)+IF(ISNUMBER(M22),2,0)+IF(ISNUMBER(N22),2,0)+IF(ISNUMBER(O22),1,0)),"")</f>
        <v>1.23076923076923</v>
      </c>
      <c r="Q22" s="20" t="n">
        <v>100</v>
      </c>
      <c r="R22" s="20" t="n">
        <v>92</v>
      </c>
      <c r="S22" s="20" t="n">
        <v>93</v>
      </c>
      <c r="T22" s="20" t="n">
        <v>90</v>
      </c>
      <c r="U22" s="20"/>
      <c r="V22" s="20"/>
      <c r="W22" s="20"/>
      <c r="X22" s="20"/>
      <c r="Y22" s="21" t="n">
        <f aca="false">IF(ISBLANK(B22),"",COUNTIF(Q22:X22,"&gt;0")+IF(UPPER(AI22)="PODVOD",1,IF(ISNUMBER(AI22),AI22,0)))</f>
        <v>4</v>
      </c>
      <c r="Z22" s="22" t="n">
        <f aca="false">IF(ISBLANK(B22),"",IF(Y22=0,0,Y22/$AH$2))</f>
        <v>1</v>
      </c>
      <c r="AA22" s="23" t="n">
        <f aca="false">IF(ISBLANK(B22),"",IF(Y22&lt;3,0,IF((IF(ISNUMBER(Q22),IF(Q22&gt;=60,1,0),0)+IF(ISNUMBER(R22),IF(R22&gt;=60,1,0),0)+IF(ISNUMBER(S22),IF(S22&gt;=60,1,0),0)+IF(ISNUMBER(T22),IF(T22&gt;=60,1,0),0)+IF(ISNUMBER(U22),IF(U22&gt;=60,1,0),0)+IF(ISNUMBER(V22),IF(V22&gt;=60,1,0),0)+IF(ISNUMBER(W22),IF(W22&gt;=60,1,0),0)+IF(ISNUMBER(X22),IF(X22&gt;=60,1,0),0))&gt;0,(IF(ISNUMBER(Q22),IF(Q22&gt;=90,-0.25,IF(Q22&gt;=75,-0.15,-0.1)),0)+IF(ISNUMBER(R22),IF(R22&gt;=90,-0.25,IF(R22&gt;=75,-0.15,-0.1)),0)+IF(ISNUMBER(S22),IF(S22&gt;=90,-0.25,IF(S22&gt;=75,-0.15,-0.1)),0)+IF(ISNUMBER(T22),IF(T22&gt;=90,-0.25,IF(T22&gt;=75,-0.15,-0.1)),0)+IF(ISNUMBER(U22),IF(U22&gt;=90,-0.25,IF(U22&gt;=75,-0.15,-0.1)),0)+IF(ISNUMBER(V22),IF(V22&gt;=90,-0.25,IF(V22&gt;=75,-0.15,-0.1)),0)+IF(ISNUMBER(W22),IF(W22&gt;=90,-0.25,IF(W22&gt;=75,-0.15,-0.1)),0)+IF(ISNUMBER(X22),IF(X22&gt;=90,-0.25,IF(X22&gt;=75,-0.15,-0.1)),0))/(IF(ISNUMBER(Q22),IF(Q22&gt;=60,1,0),0)+IF(ISNUMBER(R22),IF(R22&gt;=60,1,0),0)+IF(ISNUMBER(S22),IF(S22&gt;=60,1,0),0)+IF(ISNUMBER(T22),IF(T22&gt;=60,1,0),0)+IF(ISNUMBER(U22),IF(U22&gt;=60,1,0),0)+IF(ISNUMBER(V22),IF(V22&gt;=60,1,0),0)+IF(ISNUMBER(W22),IF(W22&gt;=60,1,0),0)+IF(ISNUMBER(X22),IF(X22&gt;=60,1,0),0)),0)))</f>
        <v>-0.25</v>
      </c>
      <c r="AB22" s="24" t="n">
        <f aca="false">IF(ISBLANK(B22),"",IF(AND(Y22&gt;=3,Z22&gt;=0.75),-0.15,0))</f>
        <v>-0.15</v>
      </c>
      <c r="AC22" s="25" t="n">
        <f aca="false">AA22+AB22</f>
        <v>-0.4</v>
      </c>
      <c r="AD22" s="23" t="n">
        <f aca="false">P22+AC22</f>
        <v>0.830769230769231</v>
      </c>
      <c r="AE22" s="26" t="n">
        <f aca="false">IF(ISBLANK(B22),"",IFERROR(IF(ISNUMBER(AD22),IF(AD22&lt;=1.5,1,IF(AD22&lt;=2.5,2,IF(AD22&lt;=3.5,3,IF(AD22&lt;=4.5,4,5)))),""),""))</f>
        <v>1</v>
      </c>
      <c r="AF22" s="27" t="s">
        <v>98</v>
      </c>
      <c r="AG22" s="28" t="s">
        <v>99</v>
      </c>
      <c r="AH22" s="33"/>
      <c r="AI22" s="30"/>
      <c r="AJ22" s="31" t="n">
        <f aca="false">COUNTIF(Q22:X22,"P")*0.2</f>
        <v>0</v>
      </c>
    </row>
    <row r="23" customFormat="false" ht="18" hidden="false" customHeight="true" outlineLevel="0" collapsed="false">
      <c r="A23" s="16" t="n">
        <v>22</v>
      </c>
      <c r="B23" s="17" t="s">
        <v>100</v>
      </c>
      <c r="C23" s="16" t="n">
        <v>1</v>
      </c>
      <c r="D23" s="16" t="n">
        <v>1</v>
      </c>
      <c r="E23" s="16" t="n">
        <v>1</v>
      </c>
      <c r="F23" s="16" t="n">
        <v>2</v>
      </c>
      <c r="G23" s="16"/>
      <c r="H23" s="16"/>
      <c r="I23" s="16" t="n">
        <v>1</v>
      </c>
      <c r="J23" s="16" t="n">
        <v>1</v>
      </c>
      <c r="K23" s="16" t="n">
        <v>1</v>
      </c>
      <c r="L23" s="16" t="n">
        <v>1</v>
      </c>
      <c r="M23" s="16"/>
      <c r="N23" s="16"/>
      <c r="O23" s="18" t="n">
        <v>1</v>
      </c>
      <c r="P23" s="19" t="n">
        <f aca="false">IFERROR((IF(ISNUMBER(C23),C23*3,0)+IF(ISNUMBER(D23),D23*3,0)+IF(ISNUMBER(E23),E23*3,0)+IF(ISNUMBER(F23),F23*3,0)+IF(ISNUMBER(G23),G23*3,0)+IF(ISNUMBER(H23),H23*3,0)+IF(ISNUMBER(I23),I23*2,0)+IF(ISNUMBER(J23),J23*2,0)+IF(ISNUMBER(K23),K23*2,0)+IF(ISNUMBER(L23),L23*2,0)+IF(ISNUMBER(M23),M23*2,0)+IF(ISNUMBER(N23),N23*2,0)+IF(ISNUMBER(O23),O23*1,0))/(IF(ISNUMBER(C23),3,0)+IF(ISNUMBER(D23),3,0)+IF(ISNUMBER(E23),3,0)+IF(ISNUMBER(F23),3,0)+IF(ISNUMBER(G23),3,0)+IF(ISNUMBER(H23),3,0)+IF(ISNUMBER(I23),2,0)+IF(ISNUMBER(J23),2,0)+IF(ISNUMBER(K23),2,0)+IF(ISNUMBER(L23),2,0)+IF(ISNUMBER(M23),2,0)+IF(ISNUMBER(N23),2,0)+IF(ISNUMBER(O23),1,0)),"")</f>
        <v>1.14285714285714</v>
      </c>
      <c r="Q23" s="20"/>
      <c r="R23" s="20"/>
      <c r="S23" s="20"/>
      <c r="T23" s="20"/>
      <c r="U23" s="20"/>
      <c r="V23" s="20"/>
      <c r="W23" s="20"/>
      <c r="X23" s="20"/>
      <c r="Y23" s="21" t="n">
        <f aca="false">IF(ISBLANK(B23),"",COUNTIF(Q23:X23,"&gt;0")+IF(UPPER(AI23)="PODVOD",1,IF(ISNUMBER(AI23),AI23,0)))</f>
        <v>0</v>
      </c>
      <c r="Z23" s="22" t="n">
        <f aca="false">IF(ISBLANK(B23),"",IF(Y23=0,0,Y23/$AH$2))</f>
        <v>0</v>
      </c>
      <c r="AA23" s="23" t="n">
        <f aca="false">IF(ISBLANK(B23),"",IF(Y23&lt;3,0,IF((IF(ISNUMBER(Q23),IF(Q23&gt;=60,1,0),0)+IF(ISNUMBER(R23),IF(R23&gt;=60,1,0),0)+IF(ISNUMBER(S23),IF(S23&gt;=60,1,0),0)+IF(ISNUMBER(T23),IF(T23&gt;=60,1,0),0)+IF(ISNUMBER(U23),IF(U23&gt;=60,1,0),0)+IF(ISNUMBER(V23),IF(V23&gt;=60,1,0),0)+IF(ISNUMBER(W23),IF(W23&gt;=60,1,0),0)+IF(ISNUMBER(X23),IF(X23&gt;=60,1,0),0))&gt;0,(IF(ISNUMBER(Q23),IF(Q23&gt;=90,-0.25,IF(Q23&gt;=75,-0.15,-0.1)),0)+IF(ISNUMBER(R23),IF(R23&gt;=90,-0.25,IF(R23&gt;=75,-0.15,-0.1)),0)+IF(ISNUMBER(S23),IF(S23&gt;=90,-0.25,IF(S23&gt;=75,-0.15,-0.1)),0)+IF(ISNUMBER(T23),IF(T23&gt;=90,-0.25,IF(T23&gt;=75,-0.15,-0.1)),0)+IF(ISNUMBER(U23),IF(U23&gt;=90,-0.25,IF(U23&gt;=75,-0.15,-0.1)),0)+IF(ISNUMBER(V23),IF(V23&gt;=90,-0.25,IF(V23&gt;=75,-0.15,-0.1)),0)+IF(ISNUMBER(W23),IF(W23&gt;=90,-0.25,IF(W23&gt;=75,-0.15,-0.1)),0)+IF(ISNUMBER(X23),IF(X23&gt;=90,-0.25,IF(X23&gt;=75,-0.15,-0.1)),0))/(IF(ISNUMBER(Q23),IF(Q23&gt;=60,1,0),0)+IF(ISNUMBER(R23),IF(R23&gt;=60,1,0),0)+IF(ISNUMBER(S23),IF(S23&gt;=60,1,0),0)+IF(ISNUMBER(T23),IF(T23&gt;=60,1,0),0)+IF(ISNUMBER(U23),IF(U23&gt;=60,1,0),0)+IF(ISNUMBER(V23),IF(V23&gt;=60,1,0),0)+IF(ISNUMBER(W23),IF(W23&gt;=60,1,0),0)+IF(ISNUMBER(X23),IF(X23&gt;=60,1,0),0)),0)))</f>
        <v>0</v>
      </c>
      <c r="AB23" s="24" t="n">
        <f aca="false">IF(ISBLANK(B23),"",IF(AND(Y23&gt;=3,Z23&gt;=0.75),-0.15,0))</f>
        <v>0</v>
      </c>
      <c r="AC23" s="25" t="n">
        <f aca="false">AA23+AB23</f>
        <v>0</v>
      </c>
      <c r="AD23" s="23" t="n">
        <f aca="false">P23+AC23</f>
        <v>1.14285714285714</v>
      </c>
      <c r="AE23" s="26" t="n">
        <f aca="false">IF(ISBLANK(B23),"",IFERROR(IF(ISNUMBER(AD23),IF(AD23&lt;=1.5,1,IF(AD23&lt;=2.5,2,IF(AD23&lt;=3.5,3,IF(AD23&lt;=4.5,4,5)))),""),""))</f>
        <v>1</v>
      </c>
      <c r="AF23" s="27" t="s">
        <v>101</v>
      </c>
      <c r="AG23" s="32" t="s">
        <v>102</v>
      </c>
      <c r="AH23" s="33"/>
      <c r="AI23" s="30"/>
      <c r="AJ23" s="31" t="n">
        <f aca="false">COUNTIF(Q23:X23,"P")*0.2</f>
        <v>0</v>
      </c>
    </row>
    <row r="24" customFormat="false" ht="18" hidden="false" customHeight="true" outlineLevel="0" collapsed="false">
      <c r="A24" s="16" t="n">
        <v>23</v>
      </c>
      <c r="B24" s="17" t="s">
        <v>103</v>
      </c>
      <c r="C24" s="16" t="n">
        <v>2</v>
      </c>
      <c r="D24" s="16" t="n">
        <v>2</v>
      </c>
      <c r="E24" s="16" t="n">
        <v>2</v>
      </c>
      <c r="F24" s="16" t="n">
        <v>3</v>
      </c>
      <c r="G24" s="16"/>
      <c r="H24" s="16"/>
      <c r="I24" s="16" t="n">
        <v>2</v>
      </c>
      <c r="J24" s="16" t="s">
        <v>37</v>
      </c>
      <c r="K24" s="16" t="s">
        <v>37</v>
      </c>
      <c r="L24" s="16" t="n">
        <v>1</v>
      </c>
      <c r="M24" s="16"/>
      <c r="N24" s="16"/>
      <c r="O24" s="18"/>
      <c r="P24" s="19" t="n">
        <f aca="false">IFERROR((IF(ISNUMBER(C24),C24*3,0)+IF(ISNUMBER(D24),D24*3,0)+IF(ISNUMBER(E24),E24*3,0)+IF(ISNUMBER(F24),F24*3,0)+IF(ISNUMBER(G24),G24*3,0)+IF(ISNUMBER(H24),H24*3,0)+IF(ISNUMBER(I24),I24*2,0)+IF(ISNUMBER(J24),J24*2,0)+IF(ISNUMBER(K24),K24*2,0)+IF(ISNUMBER(L24),L24*2,0)+IF(ISNUMBER(M24),M24*2,0)+IF(ISNUMBER(N24),N24*2,0)+IF(ISNUMBER(O24),O24*1,0))/(IF(ISNUMBER(C24),3,0)+IF(ISNUMBER(D24),3,0)+IF(ISNUMBER(E24),3,0)+IF(ISNUMBER(F24),3,0)+IF(ISNUMBER(G24),3,0)+IF(ISNUMBER(H24),3,0)+IF(ISNUMBER(I24),2,0)+IF(ISNUMBER(J24),2,0)+IF(ISNUMBER(K24),2,0)+IF(ISNUMBER(L24),2,0)+IF(ISNUMBER(M24),2,0)+IF(ISNUMBER(N24),2,0)+IF(ISNUMBER(O24),1,0)),"")</f>
        <v>2.0625</v>
      </c>
      <c r="Q24" s="20"/>
      <c r="R24" s="16"/>
      <c r="S24" s="20"/>
      <c r="T24" s="20"/>
      <c r="U24" s="16"/>
      <c r="V24" s="20"/>
      <c r="W24" s="20"/>
      <c r="X24" s="16"/>
      <c r="Y24" s="21" t="n">
        <f aca="false">IF(ISBLANK(B24),"",COUNTIF(Q24:X24,"&gt;0")+IF(UPPER(AI24)="PODVOD",1,IF(ISNUMBER(AI24),AI24,0)))</f>
        <v>0</v>
      </c>
      <c r="Z24" s="22" t="n">
        <f aca="false">IF(ISBLANK(B24),"",IF(Y24=0,0,Y24/$AH$2))</f>
        <v>0</v>
      </c>
      <c r="AA24" s="23" t="n">
        <f aca="false">IF(ISBLANK(B24),"",IF(Y24&lt;3,0,IF((IF(ISNUMBER(Q24),IF(Q24&gt;=60,1,0),0)+IF(ISNUMBER(R24),IF(R24&gt;=60,1,0),0)+IF(ISNUMBER(S24),IF(S24&gt;=60,1,0),0)+IF(ISNUMBER(T24),IF(T24&gt;=60,1,0),0)+IF(ISNUMBER(U24),IF(U24&gt;=60,1,0),0)+IF(ISNUMBER(V24),IF(V24&gt;=60,1,0),0)+IF(ISNUMBER(W24),IF(W24&gt;=60,1,0),0)+IF(ISNUMBER(X24),IF(X24&gt;=60,1,0),0))&gt;0,(IF(ISNUMBER(Q24),IF(Q24&gt;=90,-0.25,IF(Q24&gt;=75,-0.15,-0.1)),0)+IF(ISNUMBER(R24),IF(R24&gt;=90,-0.25,IF(R24&gt;=75,-0.15,-0.1)),0)+IF(ISNUMBER(S24),IF(S24&gt;=90,-0.25,IF(S24&gt;=75,-0.15,-0.1)),0)+IF(ISNUMBER(T24),IF(T24&gt;=90,-0.25,IF(T24&gt;=75,-0.15,-0.1)),0)+IF(ISNUMBER(U24),IF(U24&gt;=90,-0.25,IF(U24&gt;=75,-0.15,-0.1)),0)+IF(ISNUMBER(V24),IF(V24&gt;=90,-0.25,IF(V24&gt;=75,-0.15,-0.1)),0)+IF(ISNUMBER(W24),IF(W24&gt;=90,-0.25,IF(W24&gt;=75,-0.15,-0.1)),0)+IF(ISNUMBER(X24),IF(X24&gt;=90,-0.25,IF(X24&gt;=75,-0.15,-0.1)),0))/(IF(ISNUMBER(Q24),IF(Q24&gt;=60,1,0),0)+IF(ISNUMBER(R24),IF(R24&gt;=60,1,0),0)+IF(ISNUMBER(S24),IF(S24&gt;=60,1,0),0)+IF(ISNUMBER(T24),IF(T24&gt;=60,1,0),0)+IF(ISNUMBER(U24),IF(U24&gt;=60,1,0),0)+IF(ISNUMBER(V24),IF(V24&gt;=60,1,0),0)+IF(ISNUMBER(W24),IF(W24&gt;=60,1,0),0)+IF(ISNUMBER(X24),IF(X24&gt;=60,1,0),0)),0)))</f>
        <v>0</v>
      </c>
      <c r="AB24" s="24" t="n">
        <f aca="false">IF(ISBLANK(B24),"",IF(AND(Y24&gt;=3,Z24&gt;=0.75),-0.15,0))</f>
        <v>0</v>
      </c>
      <c r="AC24" s="25" t="n">
        <f aca="false">AA24+AB24</f>
        <v>0</v>
      </c>
      <c r="AD24" s="23" t="n">
        <f aca="false">P24+AC24</f>
        <v>2.0625</v>
      </c>
      <c r="AE24" s="26" t="n">
        <f aca="false">IF(ISBLANK(B24),"",IFERROR(IF(ISNUMBER(AD24),IF(AD24&lt;=1.5,1,IF(AD24&lt;=2.5,2,IF(AD24&lt;=3.5,3,IF(AD24&lt;=4.5,4,5)))),""),""))</f>
        <v>2</v>
      </c>
      <c r="AF24" s="27" t="s">
        <v>104</v>
      </c>
      <c r="AG24" s="28" t="s">
        <v>105</v>
      </c>
      <c r="AH24" s="33"/>
      <c r="AI24" s="30"/>
      <c r="AJ24" s="31" t="n">
        <f aca="false">COUNTIF(Q24:X24,"P")*0.2</f>
        <v>0</v>
      </c>
    </row>
    <row r="25" customFormat="false" ht="18" hidden="false" customHeight="true" outlineLevel="0" collapsed="false">
      <c r="A25" s="16" t="n">
        <v>24</v>
      </c>
      <c r="B25" s="17" t="s">
        <v>106</v>
      </c>
      <c r="C25" s="16" t="n">
        <v>2</v>
      </c>
      <c r="D25" s="16" t="n">
        <v>1</v>
      </c>
      <c r="E25" s="16" t="s">
        <v>37</v>
      </c>
      <c r="F25" s="16" t="n">
        <v>1</v>
      </c>
      <c r="G25" s="16"/>
      <c r="H25" s="16"/>
      <c r="I25" s="16" t="n">
        <v>2</v>
      </c>
      <c r="J25" s="16" t="n">
        <v>1</v>
      </c>
      <c r="K25" s="16" t="n">
        <v>1</v>
      </c>
      <c r="L25" s="16" t="n">
        <v>1</v>
      </c>
      <c r="M25" s="16"/>
      <c r="N25" s="16"/>
      <c r="O25" s="18"/>
      <c r="P25" s="19" t="n">
        <f aca="false">IFERROR((IF(ISNUMBER(C25),C25*3,0)+IF(ISNUMBER(D25),D25*3,0)+IF(ISNUMBER(E25),E25*3,0)+IF(ISNUMBER(F25),F25*3,0)+IF(ISNUMBER(G25),G25*3,0)+IF(ISNUMBER(H25),H25*3,0)+IF(ISNUMBER(I25),I25*2,0)+IF(ISNUMBER(J25),J25*2,0)+IF(ISNUMBER(K25),K25*2,0)+IF(ISNUMBER(L25),L25*2,0)+IF(ISNUMBER(M25),M25*2,0)+IF(ISNUMBER(N25),N25*2,0)+IF(ISNUMBER(O25),O25*1,0))/(IF(ISNUMBER(C25),3,0)+IF(ISNUMBER(D25),3,0)+IF(ISNUMBER(E25),3,0)+IF(ISNUMBER(F25),3,0)+IF(ISNUMBER(G25),3,0)+IF(ISNUMBER(H25),3,0)+IF(ISNUMBER(I25),2,0)+IF(ISNUMBER(J25),2,0)+IF(ISNUMBER(K25),2,0)+IF(ISNUMBER(L25),2,0)+IF(ISNUMBER(M25),2,0)+IF(ISNUMBER(N25),2,0)+IF(ISNUMBER(O25),1,0)),"")</f>
        <v>1.29411764705882</v>
      </c>
      <c r="Q25" s="20" t="n">
        <v>99</v>
      </c>
      <c r="R25" s="16" t="n">
        <v>91</v>
      </c>
      <c r="S25" s="20" t="n">
        <v>100</v>
      </c>
      <c r="T25" s="20" t="n">
        <v>94</v>
      </c>
      <c r="U25" s="16"/>
      <c r="V25" s="20"/>
      <c r="W25" s="20"/>
      <c r="X25" s="16"/>
      <c r="Y25" s="21" t="n">
        <f aca="false">IF(ISBLANK(B25),"",COUNTIF(Q25:X25,"&gt;0")+IF(UPPER(AI25)="PODVOD",1,IF(ISNUMBER(AI25),AI25,0)))</f>
        <v>4</v>
      </c>
      <c r="Z25" s="22" t="n">
        <f aca="false">IF(ISBLANK(B25),"",IF(Y25=0,0,Y25/$AH$2))</f>
        <v>1</v>
      </c>
      <c r="AA25" s="23" t="n">
        <f aca="false">IF(ISBLANK(B25),"",IF(Y25&lt;3,0,IF((IF(ISNUMBER(Q25),IF(Q25&gt;=60,1,0),0)+IF(ISNUMBER(R25),IF(R25&gt;=60,1,0),0)+IF(ISNUMBER(S25),IF(S25&gt;=60,1,0),0)+IF(ISNUMBER(T25),IF(T25&gt;=60,1,0),0)+IF(ISNUMBER(U25),IF(U25&gt;=60,1,0),0)+IF(ISNUMBER(V25),IF(V25&gt;=60,1,0),0)+IF(ISNUMBER(W25),IF(W25&gt;=60,1,0),0)+IF(ISNUMBER(X25),IF(X25&gt;=60,1,0),0))&gt;0,(IF(ISNUMBER(Q25),IF(Q25&gt;=90,-0.25,IF(Q25&gt;=75,-0.15,-0.1)),0)+IF(ISNUMBER(R25),IF(R25&gt;=90,-0.25,IF(R25&gt;=75,-0.15,-0.1)),0)+IF(ISNUMBER(S25),IF(S25&gt;=90,-0.25,IF(S25&gt;=75,-0.15,-0.1)),0)+IF(ISNUMBER(T25),IF(T25&gt;=90,-0.25,IF(T25&gt;=75,-0.15,-0.1)),0)+IF(ISNUMBER(U25),IF(U25&gt;=90,-0.25,IF(U25&gt;=75,-0.15,-0.1)),0)+IF(ISNUMBER(V25),IF(V25&gt;=90,-0.25,IF(V25&gt;=75,-0.15,-0.1)),0)+IF(ISNUMBER(W25),IF(W25&gt;=90,-0.25,IF(W25&gt;=75,-0.15,-0.1)),0)+IF(ISNUMBER(X25),IF(X25&gt;=90,-0.25,IF(X25&gt;=75,-0.15,-0.1)),0))/(IF(ISNUMBER(Q25),IF(Q25&gt;=60,1,0),0)+IF(ISNUMBER(R25),IF(R25&gt;=60,1,0),0)+IF(ISNUMBER(S25),IF(S25&gt;=60,1,0),0)+IF(ISNUMBER(T25),IF(T25&gt;=60,1,0),0)+IF(ISNUMBER(U25),IF(U25&gt;=60,1,0),0)+IF(ISNUMBER(V25),IF(V25&gt;=60,1,0),0)+IF(ISNUMBER(W25),IF(W25&gt;=60,1,0),0)+IF(ISNUMBER(X25),IF(X25&gt;=60,1,0),0)),0)))</f>
        <v>-0.25</v>
      </c>
      <c r="AB25" s="24" t="n">
        <f aca="false">IF(ISBLANK(B25),"",IF(AND(Y25&gt;=3,Z25&gt;=0.75),-0.15,0))</f>
        <v>-0.15</v>
      </c>
      <c r="AC25" s="25" t="n">
        <f aca="false">AA25+AB25</f>
        <v>-0.4</v>
      </c>
      <c r="AD25" s="23" t="n">
        <f aca="false">P25+AC25</f>
        <v>0.894117647058824</v>
      </c>
      <c r="AE25" s="26" t="n">
        <f aca="false">IF(ISBLANK(B25),"",IFERROR(IF(ISNUMBER(AD25),IF(AD25&lt;=1.5,1,IF(AD25&lt;=2.5,2,IF(AD25&lt;=3.5,3,IF(AD25&lt;=4.5,4,5)))),""),""))</f>
        <v>1</v>
      </c>
      <c r="AF25" s="27" t="s">
        <v>107</v>
      </c>
      <c r="AG25" s="32" t="s">
        <v>108</v>
      </c>
      <c r="AH25" s="33"/>
      <c r="AI25" s="30"/>
      <c r="AJ25" s="31" t="n">
        <f aca="false">COUNTIF(Q25:X25,"P")*0.2</f>
        <v>0</v>
      </c>
    </row>
    <row r="26" customFormat="false" ht="18" hidden="false" customHeight="true" outlineLevel="0" collapsed="false">
      <c r="A26" s="16" t="n">
        <v>25</v>
      </c>
      <c r="B26" s="17" t="s">
        <v>109</v>
      </c>
      <c r="C26" s="16" t="n">
        <v>2</v>
      </c>
      <c r="D26" s="16" t="n">
        <v>1</v>
      </c>
      <c r="E26" s="16" t="n">
        <v>1</v>
      </c>
      <c r="F26" s="16" t="n">
        <v>3</v>
      </c>
      <c r="G26" s="16"/>
      <c r="H26" s="16"/>
      <c r="I26" s="16" t="n">
        <v>2</v>
      </c>
      <c r="J26" s="16" t="s">
        <v>37</v>
      </c>
      <c r="K26" s="16" t="n">
        <v>1</v>
      </c>
      <c r="L26" s="16" t="n">
        <v>1</v>
      </c>
      <c r="M26" s="16"/>
      <c r="N26" s="16"/>
      <c r="O26" s="18"/>
      <c r="P26" s="19" t="n">
        <f aca="false">IFERROR((IF(ISNUMBER(C26),C26*3,0)+IF(ISNUMBER(D26),D26*3,0)+IF(ISNUMBER(E26),E26*3,0)+IF(ISNUMBER(F26),F26*3,0)+IF(ISNUMBER(G26),G26*3,0)+IF(ISNUMBER(H26),H26*3,0)+IF(ISNUMBER(I26),I26*2,0)+IF(ISNUMBER(J26),J26*2,0)+IF(ISNUMBER(K26),K26*2,0)+IF(ISNUMBER(L26),L26*2,0)+IF(ISNUMBER(M26),M26*2,0)+IF(ISNUMBER(N26),N26*2,0)+IF(ISNUMBER(O26),O26*1,0))/(IF(ISNUMBER(C26),3,0)+IF(ISNUMBER(D26),3,0)+IF(ISNUMBER(E26),3,0)+IF(ISNUMBER(F26),3,0)+IF(ISNUMBER(G26),3,0)+IF(ISNUMBER(H26),3,0)+IF(ISNUMBER(I26),2,0)+IF(ISNUMBER(J26),2,0)+IF(ISNUMBER(K26),2,0)+IF(ISNUMBER(L26),2,0)+IF(ISNUMBER(M26),2,0)+IF(ISNUMBER(N26),2,0)+IF(ISNUMBER(O26),1,0)),"")</f>
        <v>1.61111111111111</v>
      </c>
      <c r="Q26" s="20" t="n">
        <v>100</v>
      </c>
      <c r="R26" s="16" t="n">
        <v>95</v>
      </c>
      <c r="S26" s="20" t="n">
        <v>91</v>
      </c>
      <c r="T26" s="20" t="n">
        <v>92</v>
      </c>
      <c r="U26" s="16"/>
      <c r="V26" s="20"/>
      <c r="W26" s="20"/>
      <c r="X26" s="16"/>
      <c r="Y26" s="21" t="n">
        <f aca="false">IF(ISBLANK(B26),"",COUNTIF(Q26:X26,"&gt;0")+IF(UPPER(AI26)="PODVOD",1,IF(ISNUMBER(AI26),AI26,0)))</f>
        <v>4</v>
      </c>
      <c r="Z26" s="22" t="n">
        <f aca="false">IF(ISBLANK(B26),"",IF(Y26=0,0,Y26/$AH$2))</f>
        <v>1</v>
      </c>
      <c r="AA26" s="23" t="n">
        <f aca="false">IF(ISBLANK(B26),"",IF(Y26&lt;3,0,IF((IF(ISNUMBER(Q26),IF(Q26&gt;=60,1,0),0)+IF(ISNUMBER(R26),IF(R26&gt;=60,1,0),0)+IF(ISNUMBER(S26),IF(S26&gt;=60,1,0),0)+IF(ISNUMBER(T26),IF(T26&gt;=60,1,0),0)+IF(ISNUMBER(U26),IF(U26&gt;=60,1,0),0)+IF(ISNUMBER(V26),IF(V26&gt;=60,1,0),0)+IF(ISNUMBER(W26),IF(W26&gt;=60,1,0),0)+IF(ISNUMBER(X26),IF(X26&gt;=60,1,0),0))&gt;0,(IF(ISNUMBER(Q26),IF(Q26&gt;=90,-0.25,IF(Q26&gt;=75,-0.15,-0.1)),0)+IF(ISNUMBER(R26),IF(R26&gt;=90,-0.25,IF(R26&gt;=75,-0.15,-0.1)),0)+IF(ISNUMBER(S26),IF(S26&gt;=90,-0.25,IF(S26&gt;=75,-0.15,-0.1)),0)+IF(ISNUMBER(T26),IF(T26&gt;=90,-0.25,IF(T26&gt;=75,-0.15,-0.1)),0)+IF(ISNUMBER(U26),IF(U26&gt;=90,-0.25,IF(U26&gt;=75,-0.15,-0.1)),0)+IF(ISNUMBER(V26),IF(V26&gt;=90,-0.25,IF(V26&gt;=75,-0.15,-0.1)),0)+IF(ISNUMBER(W26),IF(W26&gt;=90,-0.25,IF(W26&gt;=75,-0.15,-0.1)),0)+IF(ISNUMBER(X26),IF(X26&gt;=90,-0.25,IF(X26&gt;=75,-0.15,-0.1)),0))/(IF(ISNUMBER(Q26),IF(Q26&gt;=60,1,0),0)+IF(ISNUMBER(R26),IF(R26&gt;=60,1,0),0)+IF(ISNUMBER(S26),IF(S26&gt;=60,1,0),0)+IF(ISNUMBER(T26),IF(T26&gt;=60,1,0),0)+IF(ISNUMBER(U26),IF(U26&gt;=60,1,0),0)+IF(ISNUMBER(V26),IF(V26&gt;=60,1,0),0)+IF(ISNUMBER(W26),IF(W26&gt;=60,1,0),0)+IF(ISNUMBER(X26),IF(X26&gt;=60,1,0),0)),0)))</f>
        <v>-0.25</v>
      </c>
      <c r="AB26" s="24" t="n">
        <f aca="false">IF(ISBLANK(B26),"",IF(AND(Y26&gt;=3,Z26&gt;=0.75),-0.15,0))</f>
        <v>-0.15</v>
      </c>
      <c r="AC26" s="25" t="n">
        <f aca="false">AA26+AB26</f>
        <v>-0.4</v>
      </c>
      <c r="AD26" s="23" t="n">
        <f aca="false">P26+AC26</f>
        <v>1.21111111111111</v>
      </c>
      <c r="AE26" s="26" t="n">
        <f aca="false">IF(ISBLANK(B26),"",IFERROR(IF(ISNUMBER(AD26),IF(AD26&lt;=1.5,1,IF(AD26&lt;=2.5,2,IF(AD26&lt;=3.5,3,IF(AD26&lt;=4.5,4,5)))),""),""))</f>
        <v>1</v>
      </c>
      <c r="AF26" s="27" t="s">
        <v>110</v>
      </c>
      <c r="AG26" s="28" t="s">
        <v>111</v>
      </c>
      <c r="AH26" s="33"/>
      <c r="AI26" s="30"/>
      <c r="AJ26" s="31" t="n">
        <f aca="false">COUNTIF(Q26:X26,"P")*0.2</f>
        <v>0</v>
      </c>
    </row>
    <row r="27" customFormat="false" ht="18" hidden="false" customHeight="true" outlineLevel="0" collapsed="false">
      <c r="A27" s="16" t="n">
        <v>26</v>
      </c>
      <c r="B27" s="17" t="s">
        <v>112</v>
      </c>
      <c r="C27" s="16" t="s">
        <v>37</v>
      </c>
      <c r="D27" s="16" t="n">
        <v>1</v>
      </c>
      <c r="E27" s="16" t="s">
        <v>37</v>
      </c>
      <c r="F27" s="16" t="n">
        <v>1</v>
      </c>
      <c r="G27" s="16"/>
      <c r="H27" s="16"/>
      <c r="I27" s="16" t="n">
        <v>1</v>
      </c>
      <c r="J27" s="16" t="s">
        <v>37</v>
      </c>
      <c r="K27" s="16" t="n">
        <v>1</v>
      </c>
      <c r="L27" s="16" t="n">
        <v>1</v>
      </c>
      <c r="M27" s="16"/>
      <c r="N27" s="16"/>
      <c r="O27" s="18"/>
      <c r="P27" s="19" t="n">
        <f aca="false">IFERROR((IF(ISNUMBER(C27),C27*3,0)+IF(ISNUMBER(D27),D27*3,0)+IF(ISNUMBER(E27),E27*3,0)+IF(ISNUMBER(F27),F27*3,0)+IF(ISNUMBER(G27),G27*3,0)+IF(ISNUMBER(H27),H27*3,0)+IF(ISNUMBER(I27),I27*2,0)+IF(ISNUMBER(J27),J27*2,0)+IF(ISNUMBER(K27),K27*2,0)+IF(ISNUMBER(L27),L27*2,0)+IF(ISNUMBER(M27),M27*2,0)+IF(ISNUMBER(N27),N27*2,0)+IF(ISNUMBER(O27),O27*1,0))/(IF(ISNUMBER(C27),3,0)+IF(ISNUMBER(D27),3,0)+IF(ISNUMBER(E27),3,0)+IF(ISNUMBER(F27),3,0)+IF(ISNUMBER(G27),3,0)+IF(ISNUMBER(H27),3,0)+IF(ISNUMBER(I27),2,0)+IF(ISNUMBER(J27),2,0)+IF(ISNUMBER(K27),2,0)+IF(ISNUMBER(L27),2,0)+IF(ISNUMBER(M27),2,0)+IF(ISNUMBER(N27),2,0)+IF(ISNUMBER(O27),1,0)),"")</f>
        <v>1</v>
      </c>
      <c r="Q27" s="20"/>
      <c r="R27" s="16"/>
      <c r="S27" s="20"/>
      <c r="T27" s="20"/>
      <c r="U27" s="16"/>
      <c r="V27" s="20"/>
      <c r="W27" s="20"/>
      <c r="X27" s="16"/>
      <c r="Y27" s="21" t="n">
        <f aca="false">IF(ISBLANK(B27),"",COUNTIF(Q27:X27,"&gt;0")+IF(UPPER(AI27)="PODVOD",1,IF(ISNUMBER(AI27),AI27,0)))</f>
        <v>0</v>
      </c>
      <c r="Z27" s="22" t="n">
        <f aca="false">IF(ISBLANK(B27),"",IF(Y27=0,0,Y27/$AH$2))</f>
        <v>0</v>
      </c>
      <c r="AA27" s="23" t="n">
        <f aca="false">IF(ISBLANK(B27),"",IF(Y27&lt;3,0,IF((IF(ISNUMBER(Q27),IF(Q27&gt;=60,1,0),0)+IF(ISNUMBER(R27),IF(R27&gt;=60,1,0),0)+IF(ISNUMBER(S27),IF(S27&gt;=60,1,0),0)+IF(ISNUMBER(T27),IF(T27&gt;=60,1,0),0)+IF(ISNUMBER(U27),IF(U27&gt;=60,1,0),0)+IF(ISNUMBER(V27),IF(V27&gt;=60,1,0),0)+IF(ISNUMBER(W27),IF(W27&gt;=60,1,0),0)+IF(ISNUMBER(X27),IF(X27&gt;=60,1,0),0))&gt;0,(IF(ISNUMBER(Q27),IF(Q27&gt;=90,-0.25,IF(Q27&gt;=75,-0.15,-0.1)),0)+IF(ISNUMBER(R27),IF(R27&gt;=90,-0.25,IF(R27&gt;=75,-0.15,-0.1)),0)+IF(ISNUMBER(S27),IF(S27&gt;=90,-0.25,IF(S27&gt;=75,-0.15,-0.1)),0)+IF(ISNUMBER(T27),IF(T27&gt;=90,-0.25,IF(T27&gt;=75,-0.15,-0.1)),0)+IF(ISNUMBER(U27),IF(U27&gt;=90,-0.25,IF(U27&gt;=75,-0.15,-0.1)),0)+IF(ISNUMBER(V27),IF(V27&gt;=90,-0.25,IF(V27&gt;=75,-0.15,-0.1)),0)+IF(ISNUMBER(W27),IF(W27&gt;=90,-0.25,IF(W27&gt;=75,-0.15,-0.1)),0)+IF(ISNUMBER(X27),IF(X27&gt;=90,-0.25,IF(X27&gt;=75,-0.15,-0.1)),0))/(IF(ISNUMBER(Q27),IF(Q27&gt;=60,1,0),0)+IF(ISNUMBER(R27),IF(R27&gt;=60,1,0),0)+IF(ISNUMBER(S27),IF(S27&gt;=60,1,0),0)+IF(ISNUMBER(T27),IF(T27&gt;=60,1,0),0)+IF(ISNUMBER(U27),IF(U27&gt;=60,1,0),0)+IF(ISNUMBER(V27),IF(V27&gt;=60,1,0),0)+IF(ISNUMBER(W27),IF(W27&gt;=60,1,0),0)+IF(ISNUMBER(X27),IF(X27&gt;=60,1,0),0)),0)))</f>
        <v>0</v>
      </c>
      <c r="AB27" s="24" t="n">
        <f aca="false">IF(ISBLANK(B27),"",IF(AND(Y27&gt;=3,Z27&gt;=0.75),-0.15,0))</f>
        <v>0</v>
      </c>
      <c r="AC27" s="25" t="n">
        <f aca="false">AA27+AB27</f>
        <v>0</v>
      </c>
      <c r="AD27" s="23" t="n">
        <f aca="false">P27+AC27</f>
        <v>1</v>
      </c>
      <c r="AE27" s="26" t="n">
        <f aca="false">IF(ISBLANK(B27),"",IFERROR(IF(ISNUMBER(AD27),IF(AD27&lt;=1.5,1,IF(AD27&lt;=2.5,2,IF(AD27&lt;=3.5,3,IF(AD27&lt;=4.5,4,5)))),""),""))</f>
        <v>1</v>
      </c>
      <c r="AF27" s="27" t="s">
        <v>113</v>
      </c>
      <c r="AG27" s="32" t="s">
        <v>114</v>
      </c>
      <c r="AH27" s="33"/>
      <c r="AI27" s="30"/>
      <c r="AJ27" s="31" t="n">
        <f aca="false">COUNTIF(Q27:X27,"P")*0.2</f>
        <v>0</v>
      </c>
    </row>
    <row r="28" customFormat="false" ht="18" hidden="false" customHeight="true" outlineLevel="0" collapsed="false">
      <c r="A28" s="16" t="n">
        <v>27</v>
      </c>
      <c r="B28" s="17" t="s">
        <v>115</v>
      </c>
      <c r="C28" s="36" t="n">
        <v>2</v>
      </c>
      <c r="D28" s="36" t="n">
        <v>1</v>
      </c>
      <c r="E28" s="16" t="n">
        <v>1</v>
      </c>
      <c r="F28" s="16" t="n">
        <v>2</v>
      </c>
      <c r="G28" s="16"/>
      <c r="H28" s="16"/>
      <c r="I28" s="36" t="n">
        <v>1</v>
      </c>
      <c r="J28" s="36" t="s">
        <v>37</v>
      </c>
      <c r="K28" s="36" t="s">
        <v>37</v>
      </c>
      <c r="L28" s="16" t="n">
        <v>1</v>
      </c>
      <c r="M28" s="16"/>
      <c r="N28" s="16"/>
      <c r="O28" s="37"/>
      <c r="P28" s="38" t="n">
        <f aca="false">IFERROR((IF(ISNUMBER(C28),C28*3,0)+IF(ISNUMBER(D28),D28*3,0)+IF(ISNUMBER(E28),E28*3,0)+IF(ISNUMBER(F28),F28*3,0)+IF(ISNUMBER(G28),G28*3,0)+IF(ISNUMBER(H28),H28*3,0)+IF(ISNUMBER(I28),I28*2,0)+IF(ISNUMBER(J28),J28*2,0)+IF(ISNUMBER(K28),K28*2,0)+IF(ISNUMBER(L28),L28*2,0)+IF(ISNUMBER(M28),M28*2,0)+IF(ISNUMBER(N28),N28*2,0)+IF(ISNUMBER(O28),O28*1,0))/(IF(ISNUMBER(C28),3,0)+IF(ISNUMBER(D28),3,0)+IF(ISNUMBER(E28),3,0)+IF(ISNUMBER(F28),3,0)+IF(ISNUMBER(G28),3,0)+IF(ISNUMBER(H28),3,0)+IF(ISNUMBER(I28),2,0)+IF(ISNUMBER(J28),2,0)+IF(ISNUMBER(K28),2,0)+IF(ISNUMBER(L28),2,0)+IF(ISNUMBER(M28),2,0)+IF(ISNUMBER(N28),2,0)+IF(ISNUMBER(O28),1,0)),"")</f>
        <v>1.375</v>
      </c>
      <c r="Q28" s="36" t="n">
        <v>100</v>
      </c>
      <c r="R28" s="36" t="n">
        <v>94</v>
      </c>
      <c r="S28" s="36" t="n">
        <v>95</v>
      </c>
      <c r="T28" s="36" t="n">
        <v>92</v>
      </c>
      <c r="U28" s="36"/>
      <c r="V28" s="36"/>
      <c r="W28" s="36"/>
      <c r="X28" s="36"/>
      <c r="Y28" s="39" t="n">
        <f aca="false">IF(ISBLANK(B28),"",COUNTIF(Q28:X28,"&gt;0")+IF(UPPER(AI28)="PODVOD",1,IF(ISNUMBER(AI28),AI28,0)))</f>
        <v>4</v>
      </c>
      <c r="Z28" s="40" t="n">
        <f aca="false">IF(ISBLANK(B28),"",IF(Y28=0,0,Y28/$AH$2))</f>
        <v>1</v>
      </c>
      <c r="AA28" s="41" t="n">
        <f aca="false">IF(ISBLANK(B28),"",IF(Y28&lt;3,0,IF((IF(ISNUMBER(Q28),IF(Q28&gt;=60,1,0),0)+IF(ISNUMBER(R28),IF(R28&gt;=60,1,0),0)+IF(ISNUMBER(S28),IF(S28&gt;=60,1,0),0)+IF(ISNUMBER(T28),IF(T28&gt;=60,1,0),0)+IF(ISNUMBER(U28),IF(U28&gt;=60,1,0),0)+IF(ISNUMBER(V28),IF(V28&gt;=60,1,0),0)+IF(ISNUMBER(W28),IF(W28&gt;=60,1,0),0)+IF(ISNUMBER(X28),IF(X28&gt;=60,1,0),0))&gt;0,(IF(ISNUMBER(Q28),IF(Q28&gt;=90,-0.25,IF(Q28&gt;=75,-0.15,-0.1)),0)+IF(ISNUMBER(R28),IF(R28&gt;=90,-0.25,IF(R28&gt;=75,-0.15,-0.1)),0)+IF(ISNUMBER(S28),IF(S28&gt;=90,-0.25,IF(S28&gt;=75,-0.15,-0.1)),0)+IF(ISNUMBER(T28),IF(T28&gt;=90,-0.25,IF(T28&gt;=75,-0.15,-0.1)),0)+IF(ISNUMBER(U28),IF(U28&gt;=90,-0.25,IF(U28&gt;=75,-0.15,-0.1)),0)+IF(ISNUMBER(V28),IF(V28&gt;=90,-0.25,IF(V28&gt;=75,-0.15,-0.1)),0)+IF(ISNUMBER(W28),IF(W28&gt;=90,-0.25,IF(W28&gt;=75,-0.15,-0.1)),0)+IF(ISNUMBER(X28),IF(X28&gt;=90,-0.25,IF(X28&gt;=75,-0.15,-0.1)),0))/(IF(ISNUMBER(Q28),IF(Q28&gt;=60,1,0),0)+IF(ISNUMBER(R28),IF(R28&gt;=60,1,0),0)+IF(ISNUMBER(S28),IF(S28&gt;=60,1,0),0)+IF(ISNUMBER(T28),IF(T28&gt;=60,1,0),0)+IF(ISNUMBER(U28),IF(U28&gt;=60,1,0),0)+IF(ISNUMBER(V28),IF(V28&gt;=60,1,0),0)+IF(ISNUMBER(W28),IF(W28&gt;=60,1,0),0)+IF(ISNUMBER(X28),IF(X28&gt;=60,1,0),0)),0)))</f>
        <v>-0.25</v>
      </c>
      <c r="AB28" s="42" t="n">
        <f aca="false">IF(ISBLANK(B28),"",IF(AND(Y28&gt;=3,Z28&gt;=0.75),-0.15,0))</f>
        <v>-0.15</v>
      </c>
      <c r="AC28" s="43" t="n">
        <f aca="false">AA28+AB28</f>
        <v>-0.4</v>
      </c>
      <c r="AD28" s="41" t="n">
        <f aca="false">P28+AC28</f>
        <v>0.975</v>
      </c>
      <c r="AE28" s="44" t="n">
        <f aca="false">IF(ISBLANK(B28),"",IFERROR(IF(ISNUMBER(AD28),IF(AD28&lt;=1.5,1,IF(AD28&lt;=2.5,2,IF(AD28&lt;=3.5,3,IF(AD28&lt;=4.5,4,5)))),""),""))</f>
        <v>1</v>
      </c>
      <c r="AF28" s="27" t="s">
        <v>116</v>
      </c>
      <c r="AG28" s="28" t="s">
        <v>117</v>
      </c>
      <c r="AH28" s="33"/>
      <c r="AI28" s="30"/>
      <c r="AJ28" s="31" t="n">
        <f aca="false">COUNTIF(Q28:X28,"P")*0.2</f>
        <v>0</v>
      </c>
    </row>
    <row r="29" customFormat="false" ht="18" hidden="false" customHeight="true" outlineLevel="0" collapsed="false">
      <c r="A29" s="16" t="n">
        <v>28</v>
      </c>
      <c r="B29" s="17" t="s">
        <v>118</v>
      </c>
      <c r="C29" s="36" t="s">
        <v>37</v>
      </c>
      <c r="D29" s="36" t="n">
        <v>2</v>
      </c>
      <c r="E29" s="16" t="n">
        <v>1</v>
      </c>
      <c r="F29" s="16" t="n">
        <v>2</v>
      </c>
      <c r="G29" s="16"/>
      <c r="H29" s="16"/>
      <c r="I29" s="36" t="n">
        <v>3</v>
      </c>
      <c r="J29" s="36" t="n">
        <v>1</v>
      </c>
      <c r="K29" s="36" t="s">
        <v>37</v>
      </c>
      <c r="L29" s="16" t="n">
        <v>1</v>
      </c>
      <c r="M29" s="16"/>
      <c r="N29" s="16"/>
      <c r="O29" s="37"/>
      <c r="P29" s="38" t="n">
        <f aca="false">IFERROR((IF(ISNUMBER(C29),C29*3,0)+IF(ISNUMBER(D29),D29*3,0)+IF(ISNUMBER(E29),E29*3,0)+IF(ISNUMBER(F29),F29*3,0)+IF(ISNUMBER(G29),G29*3,0)+IF(ISNUMBER(H29),H29*3,0)+IF(ISNUMBER(I29),I29*2,0)+IF(ISNUMBER(J29),J29*2,0)+IF(ISNUMBER(K29),K29*2,0)+IF(ISNUMBER(L29),L29*2,0)+IF(ISNUMBER(M29),M29*2,0)+IF(ISNUMBER(N29),N29*2,0)+IF(ISNUMBER(O29),O29*1,0))/(IF(ISNUMBER(C29),3,0)+IF(ISNUMBER(D29),3,0)+IF(ISNUMBER(E29),3,0)+IF(ISNUMBER(F29),3,0)+IF(ISNUMBER(G29),3,0)+IF(ISNUMBER(H29),3,0)+IF(ISNUMBER(I29),2,0)+IF(ISNUMBER(J29),2,0)+IF(ISNUMBER(K29),2,0)+IF(ISNUMBER(L29),2,0)+IF(ISNUMBER(M29),2,0)+IF(ISNUMBER(N29),2,0)+IF(ISNUMBER(O29),1,0)),"")</f>
        <v>1.66666666666667</v>
      </c>
      <c r="Q29" s="36" t="n">
        <v>96</v>
      </c>
      <c r="R29" s="36"/>
      <c r="S29" s="36" t="n">
        <v>86</v>
      </c>
      <c r="T29" s="36"/>
      <c r="U29" s="36"/>
      <c r="V29" s="36"/>
      <c r="W29" s="36"/>
      <c r="X29" s="36"/>
      <c r="Y29" s="39" t="n">
        <f aca="false">IF(ISBLANK(B29),"",COUNTIF(Q29:X29,"&gt;0")+IF(UPPER(AI29)="PODVOD",1,IF(ISNUMBER(AI29),AI29,0)))</f>
        <v>2</v>
      </c>
      <c r="Z29" s="40" t="n">
        <f aca="false">IF(ISBLANK(B29),"",IF(Y29=0,0,Y29/$AH$2))</f>
        <v>0.5</v>
      </c>
      <c r="AA29" s="41" t="n">
        <f aca="false">IF(ISBLANK(B29),"",IF(Y29&lt;3,0,IF((IF(ISNUMBER(Q29),IF(Q29&gt;=60,1,0),0)+IF(ISNUMBER(R29),IF(R29&gt;=60,1,0),0)+IF(ISNUMBER(S29),IF(S29&gt;=60,1,0),0)+IF(ISNUMBER(T29),IF(T29&gt;=60,1,0),0)+IF(ISNUMBER(U29),IF(U29&gt;=60,1,0),0)+IF(ISNUMBER(V29),IF(V29&gt;=60,1,0),0)+IF(ISNUMBER(W29),IF(W29&gt;=60,1,0),0)+IF(ISNUMBER(X29),IF(X29&gt;=60,1,0),0))&gt;0,(IF(ISNUMBER(Q29),IF(Q29&gt;=90,-0.25,IF(Q29&gt;=75,-0.15,-0.1)),0)+IF(ISNUMBER(R29),IF(R29&gt;=90,-0.25,IF(R29&gt;=75,-0.15,-0.1)),0)+IF(ISNUMBER(S29),IF(S29&gt;=90,-0.25,IF(S29&gt;=75,-0.15,-0.1)),0)+IF(ISNUMBER(T29),IF(T29&gt;=90,-0.25,IF(T29&gt;=75,-0.15,-0.1)),0)+IF(ISNUMBER(U29),IF(U29&gt;=90,-0.25,IF(U29&gt;=75,-0.15,-0.1)),0)+IF(ISNUMBER(V29),IF(V29&gt;=90,-0.25,IF(V29&gt;=75,-0.15,-0.1)),0)+IF(ISNUMBER(W29),IF(W29&gt;=90,-0.25,IF(W29&gt;=75,-0.15,-0.1)),0)+IF(ISNUMBER(X29),IF(X29&gt;=90,-0.25,IF(X29&gt;=75,-0.15,-0.1)),0))/(IF(ISNUMBER(Q29),IF(Q29&gt;=60,1,0),0)+IF(ISNUMBER(R29),IF(R29&gt;=60,1,0),0)+IF(ISNUMBER(S29),IF(S29&gt;=60,1,0),0)+IF(ISNUMBER(T29),IF(T29&gt;=60,1,0),0)+IF(ISNUMBER(U29),IF(U29&gt;=60,1,0),0)+IF(ISNUMBER(V29),IF(V29&gt;=60,1,0),0)+IF(ISNUMBER(W29),IF(W29&gt;=60,1,0),0)+IF(ISNUMBER(X29),IF(X29&gt;=60,1,0),0)),0)))</f>
        <v>0</v>
      </c>
      <c r="AB29" s="42" t="n">
        <f aca="false">IF(ISBLANK(B29),"",IF(AND(Y29&gt;=3,Z29&gt;=0.75),-0.15,0))</f>
        <v>0</v>
      </c>
      <c r="AC29" s="43" t="n">
        <f aca="false">AA29+AB29</f>
        <v>0</v>
      </c>
      <c r="AD29" s="41" t="n">
        <f aca="false">P29+AC29</f>
        <v>1.66666666666667</v>
      </c>
      <c r="AE29" s="44" t="n">
        <f aca="false">IF(ISBLANK(B29),"",IFERROR(IF(ISNUMBER(AD29),IF(AD29&lt;=1.5,1,IF(AD29&lt;=2.5,2,IF(AD29&lt;=3.5,3,IF(AD29&lt;=4.5,4,5)))),""),""))</f>
        <v>2</v>
      </c>
      <c r="AF29" s="27" t="s">
        <v>119</v>
      </c>
      <c r="AG29" s="32" t="s">
        <v>120</v>
      </c>
      <c r="AH29" s="33"/>
      <c r="AI29" s="30"/>
      <c r="AJ29" s="31" t="n">
        <f aca="false">COUNTIF(Q29:X29,"P")*0.2</f>
        <v>0</v>
      </c>
    </row>
    <row r="30" customFormat="false" ht="18" hidden="false" customHeight="true" outlineLevel="0" collapsed="false">
      <c r="C30" s="45"/>
      <c r="D30" s="45"/>
      <c r="E30" s="45"/>
      <c r="F30" s="45"/>
      <c r="G30" s="45"/>
      <c r="I30" s="45"/>
      <c r="J30" s="45"/>
      <c r="K30" s="45"/>
      <c r="L30" s="45"/>
      <c r="M30" s="45"/>
      <c r="O30" s="45"/>
      <c r="P30" s="46" t="str">
        <f aca="false">IFERROR((IF(ISNUMBER(C30),C30*3,0)+IF(ISNUMBER(D30),D30*3,0)+IF(ISNUMBER(E30),E30*3,0)+IF(ISNUMBER(F30),F30*3,0)+IF(ISNUMBER(G30),G30*3,0)+IF(ISNUMBER(H30),H30*2,0)+IF(ISNUMBER(I30),I30*2,0)+IF(ISNUMBER(J30),J30*2,0)+IF(ISNUMBER(K30),K30*2,0)+IF(ISNUMBER(L30),L30*2,0)+IF(ISNUMBER(M30),M30*1,0))/(IF(ISNUMBER(C30),3,0)+IF(ISNUMBER(D30),3,0)+IF(ISNUMBER(E30),3,0)+IF(ISNUMBER(F30),3,0)+IF(ISNUMBER(G30),3,0)+IF(ISNUMBER(H30),2,0)+IF(ISNUMBER(I30),2,0)+IF(ISNUMBER(J30),2,0)+IF(ISNUMBER(K30),2,0)+IF(ISNUMBER(L30),2,0)+IF(ISNUMBER(M30),1,0)),"")</f>
        <v/>
      </c>
      <c r="Q30" s="45"/>
      <c r="R30" s="45"/>
      <c r="S30" s="45"/>
      <c r="T30" s="45"/>
      <c r="U30" s="45"/>
      <c r="V30" s="45"/>
      <c r="W30" s="45"/>
      <c r="X30" s="45"/>
      <c r="Y30" s="47" t="str">
        <f aca="false">IF(ISBLANK(B30),"",COUNTIF(O30:V30,"&gt;0"))</f>
        <v/>
      </c>
      <c r="Z30" s="48" t="str">
        <f aca="false">IF(ISBLANK(B30),"",IF(W30=0,0,W30/$AF$2))</f>
        <v/>
      </c>
      <c r="AA30" s="49" t="str">
        <f aca="false">IF(ISBLANK(B30),"",IF(W30&lt;3,0,IF((IF(O30&gt;=60,1,0)+IF(P30&gt;=60,1,0)+IF(Q30&gt;=60,1,0)+IF(R30&gt;=60,1,0)+IF(S30&gt;=60,1,0)+IF(T30&gt;=60,1,0)+IF(U30&gt;=60,1,0)+IF(V30&gt;=60,1,0))&gt;0,(IF(O30&gt;=60,IF(O30&gt;=90,-0.25,IF(O30&gt;=75,-0.15,-0.1)),0)+IF(P30&gt;=60,IF(P30&gt;=90,-0.25,IF(P30&gt;=75,-0.15,-0.1)),0)+IF(Q30&gt;=60,IF(Q30&gt;=90,-0.25,IF(Q30&gt;=75,-0.15,-0.1)),0)+IF(R30&gt;=60,IF(R30&gt;=90,-0.25,IF(R30&gt;=75,-0.15,-0.1)),0)+IF(S30&gt;=60,IF(S30&gt;=90,-0.25,IF(S30&gt;=75,-0.15,-0.1)),0)+IF(T30&gt;=60,IF(T30&gt;=90,-0.25,IF(T30&gt;=75,-0.15,-0.1)),0)+IF(U30&gt;=60,IF(U30&gt;=90,-0.25,IF(U30&gt;=75,-0.15,-0.1)),0)+IF(V30&gt;=60,IF(V30&gt;=90,-0.25,IF(V30&gt;=75,-0.15,-0.1)),0))/(IF(O30&gt;=60,1,0)+IF(P30&gt;=60,1,0)+IF(Q30&gt;=60,1,0)+IF(R30&gt;=60,1,0)+IF(S30&gt;=60,1,0)+IF(T30&gt;=60,1,0)+IF(U30&gt;=60,1,0)+IF(V30&gt;=60,1,0)),0)))</f>
        <v/>
      </c>
      <c r="AB30" s="50" t="str">
        <f aca="false">IF(ISBLANK(B30),"",IF(AND(W30&gt;=3,X30&gt;=0.75),-0.05,0))</f>
        <v/>
      </c>
      <c r="AC30" s="51" t="str">
        <f aca="false">IF(ISBLANK(B30),"",IFERROR(Y30+Z30,""))</f>
        <v/>
      </c>
      <c r="AD30" s="49" t="str">
        <f aca="false">IF(ISBLANK(B30),"",IF(AND(ISNUMBER(N30),ISNUMBER(AA30)),N30+AA30,""))</f>
        <v/>
      </c>
      <c r="AE30" s="52" t="str">
        <f aca="false">IF(ISBLANK(B30),"",IFERROR(IF(ISNUMBER(AB30),IF(AB30&lt;=1.5,1,IF(AB30&lt;=2.5,2,IF(AB30&lt;=3.5,3,IF(AB30&lt;=4.5,4,5)))),""),""))</f>
        <v/>
      </c>
    </row>
    <row r="31" customFormat="false" ht="15" hidden="false" customHeight="true" outlineLevel="0" collapsed="false">
      <c r="A31" s="53" t="n">
        <v>37</v>
      </c>
      <c r="B31" s="54" t="s">
        <v>121</v>
      </c>
      <c r="P31" s="0" t="str">
        <f aca="false">IFERROR((IF(ISNUMBER(C31),C31*3,0)+IF(ISNUMBER(D31),D31*3,0)+IF(ISNUMBER(E31),E31*3,0)+IF(ISNUMBER(F31),F31*3,0)+IF(ISNUMBER(G31),G31*3,0)+IF(ISNUMBER(H31),H31*3,0)+IF(ISNUMBER(I31),I31*2,0)+IF(ISNUMBER(J31),J31*2,0)+IF(ISNUMBER(K31),K31*2,0)+IF(ISNUMBER(L31),L31*2,0)+IF(ISNUMBER(M31),M31*2,0)+IF(ISNUMBER(N31),N31*2,0)+IF(ISNUMBER(O31),O31*1,0))/(IF(ISNUMBER(C31),3,0)+IF(ISNUMBER(D31),3,0)+IF(ISNUMBER(E31),3,0)+IF(ISNUMBER(F31),3,0)+IF(ISNUMBER(G31),3,0)+IF(ISNUMBER(H31),3,0)+IF(ISNUMBER(I31),2,0)+IF(ISNUMBER(J31),2,0)+IF(ISNUMBER(K31),2,0)+IF(ISNUMBER(L31),2,0)+IF(ISNUMBER(M31),2,0)+IF(ISNUMBER(N31),2,0)+IF(ISNUMBER(O31),1,0)),"")</f>
        <v/>
      </c>
      <c r="Y31" s="55" t="n">
        <f aca="false">IF(ISBLANK(B31),"",COUNTIF(Q31:X31,"&gt;0"))</f>
        <v>0</v>
      </c>
      <c r="Z31" s="56" t="n">
        <f aca="false">IF(ISBLANK(B31),"",IF(Y31=0,0,Y31/$AH$2))</f>
        <v>0</v>
      </c>
      <c r="AA31" s="55" t="n">
        <f aca="false">IF(ISBLANK(B31),"",IF(Y31&lt;3,0,IF((IF(Q31&gt;=60,1,0)+IF(R31&gt;=60,1,0)+IF(S31&gt;=60,1,0)+IF(T31&gt;=60,1,0)+IF(U31&gt;=60,1,0)+IF(V31&gt;=60,1,0)+IF(W31&gt;=60,1,0)+IF(X31&gt;=60,1,0))&gt;0,(IF(Q31&gt;=60,IF(Q31&gt;=90,-0.25,IF(Q31&gt;=75,-0.15,-0.1)),0)+IF(R31&gt;=60,IF(R31&gt;=90,-0.25,IF(R31&gt;=75,-0.15,-0.1)),0)+IF(S31&gt;=60,IF(S31&gt;=90,-0.25,IF(S31&gt;=75,-0.15,-0.1)),0)+IF(T31&gt;=60,IF(T31&gt;=90,-0.25,IF(T31&gt;=75,-0.15,-0.1)),0)+IF(U31&gt;=60,IF(U31&gt;=90,-0.25,IF(U31&gt;=75,-0.15,-0.1)),0)+IF(V31&gt;=60,IF(V31&gt;=90,-0.25,IF(V31&gt;=75,-0.15,-0.1)),0)+IF(W31&gt;=60,IF(W31&gt;=90,-0.25,IF(W31&gt;=75,-0.15,-0.1)),0)+IF(X31&gt;=60,IF(X31&gt;=90,-0.25,IF(X31&gt;=75,-0.15,-0.1)),0))/(IF(Q31&gt;=60,1,0)+IF(R31&gt;=60,1,0)+IF(S31&gt;=60,1,0)+IF(T31&gt;=60,1,0)+IF(U31&gt;=60,1,0)+IF(V31&gt;=60,1,0)+IF(W31&gt;=60,1,0)+IF(X31&gt;=60,1,0)),0)))</f>
        <v>0</v>
      </c>
      <c r="AB31" s="55" t="n">
        <f aca="false">IF(ISBLANK(B31),"",IF(AND(Y31&gt;=3,Z31&gt;=0.75),-0.15,0))</f>
        <v>0</v>
      </c>
      <c r="AC31" s="55" t="n">
        <f aca="false">AA31+AB31</f>
        <v>0</v>
      </c>
      <c r="AD31" s="55" t="e">
        <f aca="false">P31+AC31</f>
        <v>#VALUE!</v>
      </c>
      <c r="AE31" s="55" t="str">
        <f aca="false">IF(ISBLANK(B31),"",IFERROR(IF(ISNUMBER(AD31),IF(AD31&lt;=1.5,1,IF(AD31&lt;=2.5,2,IF(AD31&lt;=3.5,3,IF(AD31&lt;=4.5,4,5)))),""),""))</f>
        <v/>
      </c>
      <c r="AF31" s="55"/>
      <c r="AG31" s="55"/>
      <c r="AH31" s="55"/>
      <c r="AI31" s="55"/>
      <c r="AJ31" s="55" t="n">
        <f aca="false">COUNTIF(Q31:X31,"P")*0.2</f>
        <v>0</v>
      </c>
    </row>
    <row r="32" customFormat="false" ht="14.25" hidden="false" customHeight="true" outlineLevel="0" collapsed="false">
      <c r="A32" s="0" t="n">
        <v>38</v>
      </c>
      <c r="B32" s="0" t="s">
        <v>122</v>
      </c>
      <c r="P32" s="0" t="str">
        <f aca="false">IFERROR((IF(ISNUMBER(C32),C32*3,0)+IF(ISNUMBER(D32),D32*3,0)+IF(ISNUMBER(E32),E32*3,0)+IF(ISNUMBER(F32),F32*3,0)+IF(ISNUMBER(G32),G32*3,0)+IF(ISNUMBER(H32),H32*3,0)+IF(ISNUMBER(I32),I32*2,0)+IF(ISNUMBER(J32),J32*2,0)+IF(ISNUMBER(K32),K32*2,0)+IF(ISNUMBER(L32),L32*2,0)+IF(ISNUMBER(M32),M32*2,0)+IF(ISNUMBER(N32),N32*2,0)+IF(ISNUMBER(O32),O32*1,0))/(IF(ISNUMBER(C32),3,0)+IF(ISNUMBER(D32),3,0)+IF(ISNUMBER(E32),3,0)+IF(ISNUMBER(F32),3,0)+IF(ISNUMBER(G32),3,0)+IF(ISNUMBER(H32),3,0)+IF(ISNUMBER(I32),2,0)+IF(ISNUMBER(J32),2,0)+IF(ISNUMBER(K32),2,0)+IF(ISNUMBER(L32),2,0)+IF(ISNUMBER(M32),2,0)+IF(ISNUMBER(N32),2,0)+IF(ISNUMBER(O32),1,0)),"")</f>
        <v/>
      </c>
      <c r="Y32" s="55" t="n">
        <f aca="false">IF(ISBLANK(B32),"",COUNTIF(Q32:X32,"&gt;0"))</f>
        <v>0</v>
      </c>
      <c r="Z32" s="56" t="n">
        <f aca="false">IF(ISBLANK(B32),"",IF(Y32=0,0,Y32/$AH$2))</f>
        <v>0</v>
      </c>
      <c r="AA32" s="55" t="n">
        <f aca="false">IF(ISBLANK(B32),"",IF(Y32&lt;3,0,IF((IF(Q32&gt;=60,1,0)+IF(R32&gt;=60,1,0)+IF(S32&gt;=60,1,0)+IF(T32&gt;=60,1,0)+IF(U32&gt;=60,1,0)+IF(V32&gt;=60,1,0)+IF(W32&gt;=60,1,0)+IF(X32&gt;=60,1,0))&gt;0,(IF(Q32&gt;=60,IF(Q32&gt;=90,-0.25,IF(Q32&gt;=75,-0.15,-0.1)),0)+IF(R32&gt;=60,IF(R32&gt;=90,-0.25,IF(R32&gt;=75,-0.15,-0.1)),0)+IF(S32&gt;=60,IF(S32&gt;=90,-0.25,IF(S32&gt;=75,-0.15,-0.1)),0)+IF(T32&gt;=60,IF(T32&gt;=90,-0.25,IF(T32&gt;=75,-0.15,-0.1)),0)+IF(U32&gt;=60,IF(U32&gt;=90,-0.25,IF(U32&gt;=75,-0.15,-0.1)),0)+IF(V32&gt;=60,IF(V32&gt;=90,-0.25,IF(V32&gt;=75,-0.15,-0.1)),0)+IF(W32&gt;=60,IF(W32&gt;=90,-0.25,IF(W32&gt;=75,-0.15,-0.1)),0)+IF(X32&gt;=60,IF(X32&gt;=90,-0.25,IF(X32&gt;=75,-0.15,-0.1)),0))/(IF(Q32&gt;=60,1,0)+IF(R32&gt;=60,1,0)+IF(S32&gt;=60,1,0)+IF(T32&gt;=60,1,0)+IF(U32&gt;=60,1,0)+IF(V32&gt;=60,1,0)+IF(W32&gt;=60,1,0)+IF(X32&gt;=60,1,0)),0)))</f>
        <v>0</v>
      </c>
      <c r="AB32" s="55" t="n">
        <f aca="false">IF(ISBLANK(B32),"",IF(AND(Y32&gt;=3,Z32&gt;=0.75),-0.15,0))</f>
        <v>0</v>
      </c>
      <c r="AC32" s="55" t="n">
        <f aca="false">AA32+AB32</f>
        <v>0</v>
      </c>
      <c r="AD32" s="55" t="e">
        <f aca="false">P32+AC32</f>
        <v>#VALUE!</v>
      </c>
      <c r="AE32" s="55" t="str">
        <f aca="false">IF(ISBLANK(B32),"",IFERROR(IF(ISNUMBER(AD32),IF(AD32&lt;=1.5,1,IF(AD32&lt;=2.5,2,IF(AD32&lt;=3.5,3,IF(AD32&lt;=4.5,4,5)))),""),""))</f>
        <v/>
      </c>
      <c r="AF32" s="55"/>
      <c r="AG32" s="55"/>
      <c r="AH32" s="55"/>
      <c r="AI32" s="55"/>
      <c r="AJ32" s="55" t="n">
        <f aca="false">COUNTIF(Q32:X32,"P")*0.2</f>
        <v>0</v>
      </c>
    </row>
    <row r="33" customFormat="false" ht="14.25" hidden="false" customHeight="true" outlineLevel="0" collapsed="false">
      <c r="A33" s="0" t="n">
        <v>39</v>
      </c>
      <c r="B33" s="0" t="s">
        <v>123</v>
      </c>
      <c r="P33" s="0" t="str">
        <f aca="false">IFERROR((IF(ISNUMBER(C33),C33*3,0)+IF(ISNUMBER(D33),D33*3,0)+IF(ISNUMBER(E33),E33*3,0)+IF(ISNUMBER(F33),F33*3,0)+IF(ISNUMBER(G33),G33*3,0)+IF(ISNUMBER(H33),H33*3,0)+IF(ISNUMBER(I33),I33*2,0)+IF(ISNUMBER(J33),J33*2,0)+IF(ISNUMBER(K33),K33*2,0)+IF(ISNUMBER(L33),L33*2,0)+IF(ISNUMBER(M33),M33*2,0)+IF(ISNUMBER(N33),N33*2,0)+IF(ISNUMBER(O33),O33*1,0))/(IF(ISNUMBER(C33),3,0)+IF(ISNUMBER(D33),3,0)+IF(ISNUMBER(E33),3,0)+IF(ISNUMBER(F33),3,0)+IF(ISNUMBER(G33),3,0)+IF(ISNUMBER(H33),3,0)+IF(ISNUMBER(I33),2,0)+IF(ISNUMBER(J33),2,0)+IF(ISNUMBER(K33),2,0)+IF(ISNUMBER(L33),2,0)+IF(ISNUMBER(M33),2,0)+IF(ISNUMBER(N33),2,0)+IF(ISNUMBER(O33),1,0)),"")</f>
        <v/>
      </c>
      <c r="Y33" s="55" t="n">
        <f aca="false">IF(ISBLANK(B33),"",COUNTIF(Q33:X33,"&gt;0"))</f>
        <v>0</v>
      </c>
      <c r="Z33" s="56" t="n">
        <f aca="false">IF(ISBLANK(B33),"",IF(Y33=0,0,Y33/$AH$2))</f>
        <v>0</v>
      </c>
      <c r="AA33" s="55" t="n">
        <f aca="false">IF(ISBLANK(B33),"",IF(Y33&lt;3,0,IF((IF(Q33&gt;=60,1,0)+IF(R33&gt;=60,1,0)+IF(S33&gt;=60,1,0)+IF(T33&gt;=60,1,0)+IF(U33&gt;=60,1,0)+IF(V33&gt;=60,1,0)+IF(W33&gt;=60,1,0)+IF(X33&gt;=60,1,0))&gt;0,(IF(Q33&gt;=60,IF(Q33&gt;=90,-0.25,IF(Q33&gt;=75,-0.15,-0.1)),0)+IF(R33&gt;=60,IF(R33&gt;=90,-0.25,IF(R33&gt;=75,-0.15,-0.1)),0)+IF(S33&gt;=60,IF(S33&gt;=90,-0.25,IF(S33&gt;=75,-0.15,-0.1)),0)+IF(T33&gt;=60,IF(T33&gt;=90,-0.25,IF(T33&gt;=75,-0.15,-0.1)),0)+IF(U33&gt;=60,IF(U33&gt;=90,-0.25,IF(U33&gt;=75,-0.15,-0.1)),0)+IF(V33&gt;=60,IF(V33&gt;=90,-0.25,IF(V33&gt;=75,-0.15,-0.1)),0)+IF(W33&gt;=60,IF(W33&gt;=90,-0.25,IF(W33&gt;=75,-0.15,-0.1)),0)+IF(X33&gt;=60,IF(X33&gt;=90,-0.25,IF(X33&gt;=75,-0.15,-0.1)),0))/(IF(Q33&gt;=60,1,0)+IF(R33&gt;=60,1,0)+IF(S33&gt;=60,1,0)+IF(T33&gt;=60,1,0)+IF(U33&gt;=60,1,0)+IF(V33&gt;=60,1,0)+IF(W33&gt;=60,1,0)+IF(X33&gt;=60,1,0)),0)))</f>
        <v>0</v>
      </c>
      <c r="AB33" s="55" t="n">
        <f aca="false">IF(ISBLANK(B33),"",IF(AND(Y33&gt;=3,Z33&gt;=0.75),-0.15,0))</f>
        <v>0</v>
      </c>
      <c r="AC33" s="55" t="n">
        <f aca="false">AA33+AB33</f>
        <v>0</v>
      </c>
      <c r="AD33" s="55" t="e">
        <f aca="false">P33+AC33</f>
        <v>#VALUE!</v>
      </c>
      <c r="AE33" s="55" t="str">
        <f aca="false">IF(ISBLANK(B33),"",IFERROR(IF(ISNUMBER(AD33),IF(AD33&lt;=1.5,1,IF(AD33&lt;=2.5,2,IF(AD33&lt;=3.5,3,IF(AD33&lt;=4.5,4,5)))),""),""))</f>
        <v/>
      </c>
      <c r="AF33" s="55"/>
      <c r="AG33" s="55"/>
      <c r="AH33" s="55"/>
      <c r="AI33" s="55"/>
      <c r="AJ33" s="55" t="n">
        <f aca="false">COUNTIF(Q33:X33,"P")*0.2</f>
        <v>0</v>
      </c>
    </row>
    <row r="34" customFormat="false" ht="14.25" hidden="false" customHeight="true" outlineLevel="0" collapsed="false">
      <c r="A34" s="0" t="n">
        <v>40</v>
      </c>
      <c r="B34" s="0" t="s">
        <v>124</v>
      </c>
      <c r="P34" s="0" t="str">
        <f aca="false">IFERROR((IF(ISNUMBER(C34),C34*3,0)+IF(ISNUMBER(D34),D34*3,0)+IF(ISNUMBER(E34),E34*3,0)+IF(ISNUMBER(F34),F34*3,0)+IF(ISNUMBER(G34),G34*3,0)+IF(ISNUMBER(H34),H34*3,0)+IF(ISNUMBER(I34),I34*2,0)+IF(ISNUMBER(J34),J34*2,0)+IF(ISNUMBER(K34),K34*2,0)+IF(ISNUMBER(L34),L34*2,0)+IF(ISNUMBER(M34),M34*2,0)+IF(ISNUMBER(N34),N34*2,0)+IF(ISNUMBER(O34),O34*1,0))/(IF(ISNUMBER(C34),3,0)+IF(ISNUMBER(D34),3,0)+IF(ISNUMBER(E34),3,0)+IF(ISNUMBER(F34),3,0)+IF(ISNUMBER(G34),3,0)+IF(ISNUMBER(H34),3,0)+IF(ISNUMBER(I34),2,0)+IF(ISNUMBER(J34),2,0)+IF(ISNUMBER(K34),2,0)+IF(ISNUMBER(L34),2,0)+IF(ISNUMBER(M34),2,0)+IF(ISNUMBER(N34),2,0)+IF(ISNUMBER(O34),1,0)),"")</f>
        <v/>
      </c>
      <c r="Y34" s="55" t="n">
        <f aca="false">IF(ISBLANK(B34),"",COUNTIF(Q34:X34,"&gt;0"))</f>
        <v>0</v>
      </c>
      <c r="Z34" s="56" t="n">
        <f aca="false">IF(ISBLANK(B34),"",IF(Y34=0,0,Y34/$AH$2))</f>
        <v>0</v>
      </c>
      <c r="AA34" s="55" t="n">
        <f aca="false">IF(ISBLANK(B34),"",IF(Y34&lt;3,0,IF((IF(Q34&gt;=60,1,0)+IF(R34&gt;=60,1,0)+IF(S34&gt;=60,1,0)+IF(T34&gt;=60,1,0)+IF(U34&gt;=60,1,0)+IF(V34&gt;=60,1,0)+IF(W34&gt;=60,1,0)+IF(X34&gt;=60,1,0))&gt;0,(IF(Q34&gt;=60,IF(Q34&gt;=90,-0.25,IF(Q34&gt;=75,-0.15,-0.1)),0)+IF(R34&gt;=60,IF(R34&gt;=90,-0.25,IF(R34&gt;=75,-0.15,-0.1)),0)+IF(S34&gt;=60,IF(S34&gt;=90,-0.25,IF(S34&gt;=75,-0.15,-0.1)),0)+IF(T34&gt;=60,IF(T34&gt;=90,-0.25,IF(T34&gt;=75,-0.15,-0.1)),0)+IF(U34&gt;=60,IF(U34&gt;=90,-0.25,IF(U34&gt;=75,-0.15,-0.1)),0)+IF(V34&gt;=60,IF(V34&gt;=90,-0.25,IF(V34&gt;=75,-0.15,-0.1)),0)+IF(W34&gt;=60,IF(W34&gt;=90,-0.25,IF(W34&gt;=75,-0.15,-0.1)),0)+IF(X34&gt;=60,IF(X34&gt;=90,-0.25,IF(X34&gt;=75,-0.15,-0.1)),0))/(IF(Q34&gt;=60,1,0)+IF(R34&gt;=60,1,0)+IF(S34&gt;=60,1,0)+IF(T34&gt;=60,1,0)+IF(U34&gt;=60,1,0)+IF(V34&gt;=60,1,0)+IF(W34&gt;=60,1,0)+IF(X34&gt;=60,1,0)),0)))</f>
        <v>0</v>
      </c>
      <c r="AB34" s="55" t="n">
        <f aca="false">IF(ISBLANK(B34),"",IF(AND(Y34&gt;=3,Z34&gt;=0.75),-0.15,0))</f>
        <v>0</v>
      </c>
      <c r="AC34" s="55" t="n">
        <f aca="false">AA34+AB34</f>
        <v>0</v>
      </c>
      <c r="AD34" s="55" t="e">
        <f aca="false">P34+AC34</f>
        <v>#VALUE!</v>
      </c>
      <c r="AE34" s="55" t="str">
        <f aca="false">IF(ISBLANK(B34),"",IFERROR(IF(ISNUMBER(AD34),IF(AD34&lt;=1.5,1,IF(AD34&lt;=2.5,2,IF(AD34&lt;=3.5,3,IF(AD34&lt;=4.5,4,5)))),""),""))</f>
        <v/>
      </c>
      <c r="AF34" s="55"/>
      <c r="AG34" s="55"/>
      <c r="AH34" s="55"/>
      <c r="AI34" s="55"/>
      <c r="AJ34" s="55" t="n">
        <f aca="false">COUNTIF(Q34:X34,"P")*0.2</f>
        <v>0</v>
      </c>
    </row>
    <row r="35" customFormat="false" ht="14.25" hidden="false" customHeight="true" outlineLevel="0" collapsed="false">
      <c r="A35" s="57" t="n">
        <v>41</v>
      </c>
      <c r="B35" s="58" t="s">
        <v>125</v>
      </c>
      <c r="P35" s="0" t="str">
        <f aca="false">IFERROR((IF(ISNUMBER(C35),C35*3,0)+IF(ISNUMBER(D35),D35*3,0)+IF(ISNUMBER(E35),E35*3,0)+IF(ISNUMBER(F35),F35*3,0)+IF(ISNUMBER(G35),G35*3,0)+IF(ISNUMBER(H35),H35*3,0)+IF(ISNUMBER(I35),I35*2,0)+IF(ISNUMBER(J35),J35*2,0)+IF(ISNUMBER(K35),K35*2,0)+IF(ISNUMBER(L35),L35*2,0)+IF(ISNUMBER(M35),M35*2,0)+IF(ISNUMBER(N35),N35*2,0)+IF(ISNUMBER(O35),O35*1,0))/(IF(ISNUMBER(C35),3,0)+IF(ISNUMBER(D35),3,0)+IF(ISNUMBER(E35),3,0)+IF(ISNUMBER(F35),3,0)+IF(ISNUMBER(G35),3,0)+IF(ISNUMBER(H35),3,0)+IF(ISNUMBER(I35),2,0)+IF(ISNUMBER(J35),2,0)+IF(ISNUMBER(K35),2,0)+IF(ISNUMBER(L35),2,0)+IF(ISNUMBER(M35),2,0)+IF(ISNUMBER(N35),2,0)+IF(ISNUMBER(O35),1,0)),"")</f>
        <v/>
      </c>
      <c r="Y35" s="55" t="n">
        <f aca="false">IF(ISBLANK(B35),"",COUNTIF(Q35:X35,"&gt;0"))</f>
        <v>0</v>
      </c>
      <c r="Z35" s="56" t="n">
        <f aca="false">IF(ISBLANK(B35),"",IF(Y35=0,0,Y35/$AH$2))</f>
        <v>0</v>
      </c>
      <c r="AA35" s="55" t="n">
        <f aca="false">IF(ISBLANK(B35),"",IF(Y35&lt;3,0,IF((IF(Q35&gt;=60,1,0)+IF(R35&gt;=60,1,0)+IF(S35&gt;=60,1,0)+IF(T35&gt;=60,1,0)+IF(U35&gt;=60,1,0)+IF(V35&gt;=60,1,0)+IF(W35&gt;=60,1,0)+IF(X35&gt;=60,1,0))&gt;0,(IF(Q35&gt;=60,IF(Q35&gt;=90,-0.25,IF(Q35&gt;=75,-0.15,-0.1)),0)+IF(R35&gt;=60,IF(R35&gt;=90,-0.25,IF(R35&gt;=75,-0.15,-0.1)),0)+IF(S35&gt;=60,IF(S35&gt;=90,-0.25,IF(S35&gt;=75,-0.15,-0.1)),0)+IF(T35&gt;=60,IF(T35&gt;=90,-0.25,IF(T35&gt;=75,-0.15,-0.1)),0)+IF(U35&gt;=60,IF(U35&gt;=90,-0.25,IF(U35&gt;=75,-0.15,-0.1)),0)+IF(V35&gt;=60,IF(V35&gt;=90,-0.25,IF(V35&gt;=75,-0.15,-0.1)),0)+IF(W35&gt;=60,IF(W35&gt;=90,-0.25,IF(W35&gt;=75,-0.15,-0.1)),0)+IF(X35&gt;=60,IF(X35&gt;=90,-0.25,IF(X35&gt;=75,-0.15,-0.1)),0))/(IF(Q35&gt;=60,1,0)+IF(R35&gt;=60,1,0)+IF(S35&gt;=60,1,0)+IF(T35&gt;=60,1,0)+IF(U35&gt;=60,1,0)+IF(V35&gt;=60,1,0)+IF(W35&gt;=60,1,0)+IF(X35&gt;=60,1,0)),0)))</f>
        <v>0</v>
      </c>
      <c r="AB35" s="55" t="n">
        <f aca="false">IF(ISBLANK(B35),"",IF(AND(Y35&gt;=3,Z35&gt;=0.75),-0.15,0))</f>
        <v>0</v>
      </c>
      <c r="AC35" s="55" t="n">
        <f aca="false">IF(ISBLANK(B35),"",IFERROR(AA35+AB35,""))</f>
        <v>0</v>
      </c>
      <c r="AD35" s="55" t="str">
        <f aca="false">IF(ISBLANK(B35),"",IF(AND(ISNUMBER(P35),ISNUMBER(AC35)),P35+AC35,""))</f>
        <v/>
      </c>
      <c r="AE35" s="55" t="str">
        <f aca="false">IF(ISBLANK(B35),"",IFERROR(IF(ISNUMBER(AD35),IF(AD35&lt;=1.5,1,IF(AD35&lt;=2.5,2,IF(AD35&lt;=3.5,3,IF(AD35&lt;=4.5,4,5)))),""),""))</f>
        <v/>
      </c>
      <c r="AF35" s="55"/>
      <c r="AG35" s="55"/>
      <c r="AH35" s="55"/>
      <c r="AI35" s="55"/>
      <c r="AJ35" s="55"/>
    </row>
    <row r="36" customFormat="false" ht="14.25" hidden="false" customHeight="true" outlineLevel="0" collapsed="false">
      <c r="A36" s="0" t="n">
        <v>47</v>
      </c>
      <c r="B36" s="0" t="s">
        <v>126</v>
      </c>
      <c r="P36" s="0" t="str">
        <f aca="false">IFERROR((IF(ISNUMBER(C36),C36*3,0)+IF(ISNUMBER(D36),D36*3,0)+IF(ISNUMBER(E36),E36*3,0)+IF(ISNUMBER(F36),F36*3,0)+IF(ISNUMBER(G36),G36*3,0)+IF(ISNUMBER(H36),H36*3,0)+IF(ISNUMBER(I36),I36*2,0)+IF(ISNUMBER(J36),J36*2,0)+IF(ISNUMBER(K36),K36*2,0)+IF(ISNUMBER(L36),L36*2,0)+IF(ISNUMBER(M36),M36*2,0)+IF(ISNUMBER(N36),N36*2,0)+IF(ISNUMBER(O36),O36*1,0))/(IF(ISNUMBER(C36),3,0)+IF(ISNUMBER(D36),3,0)+IF(ISNUMBER(E36),3,0)+IF(ISNUMBER(F36),3,0)+IF(ISNUMBER(G36),3,0)+IF(ISNUMBER(H36),3,0)+IF(ISNUMBER(I36),2,0)+IF(ISNUMBER(J36),2,0)+IF(ISNUMBER(K36),2,0)+IF(ISNUMBER(L36),2,0)+IF(ISNUMBER(M36),2,0)+IF(ISNUMBER(N36),2,0)+IF(ISNUMBER(O36),1,0)),"")</f>
        <v/>
      </c>
      <c r="Y36" s="55" t="n">
        <f aca="false">IF(ISBLANK(B36),"",COUNTIF(Q36:X36,"&gt;0"))</f>
        <v>0</v>
      </c>
      <c r="Z36" s="56" t="n">
        <f aca="false">IF(ISBLANK(B36),"",IF(Y36=0,0,Y36/$AH$2))</f>
        <v>0</v>
      </c>
      <c r="AA36" s="55" t="n">
        <f aca="false">IF(ISBLANK(B36),"",IF(Y36&lt;3,0,IF((IF(Q36&gt;=60,1,0)+IF(R36&gt;=60,1,0)+IF(S36&gt;=60,1,0)+IF(T36&gt;=60,1,0)+IF(U36&gt;=60,1,0)+IF(V36&gt;=60,1,0)+IF(W36&gt;=60,1,0)+IF(X36&gt;=60,1,0))&gt;0,(IF(Q36&gt;=60,IF(Q36&gt;=90,-0.25,IF(Q36&gt;=75,-0.15,-0.1)),0)+IF(R36&gt;=60,IF(R36&gt;=90,-0.25,IF(R36&gt;=75,-0.15,-0.1)),0)+IF(S36&gt;=60,IF(S36&gt;=90,-0.25,IF(S36&gt;=75,-0.15,-0.1)),0)+IF(T36&gt;=60,IF(T36&gt;=90,-0.25,IF(T36&gt;=75,-0.15,-0.1)),0)+IF(U36&gt;=60,IF(U36&gt;=90,-0.25,IF(U36&gt;=75,-0.15,-0.1)),0)+IF(V36&gt;=60,IF(V36&gt;=90,-0.25,IF(V36&gt;=75,-0.15,-0.1)),0)+IF(W36&gt;=60,IF(W36&gt;=90,-0.25,IF(W36&gt;=75,-0.15,-0.1)),0)+IF(X36&gt;=60,IF(X36&gt;=90,-0.25,IF(X36&gt;=75,-0.15,-0.1)),0))/(IF(Q36&gt;=60,1,0)+IF(R36&gt;=60,1,0)+IF(S36&gt;=60,1,0)+IF(T36&gt;=60,1,0)+IF(U36&gt;=60,1,0)+IF(V36&gt;=60,1,0)+IF(W36&gt;=60,1,0)+IF(X36&gt;=60,1,0)),0)))</f>
        <v>0</v>
      </c>
      <c r="AB36" s="55" t="n">
        <f aca="false">IF(ISBLANK(B36),"",IF(AND(Y36&gt;=3,Z36&gt;=0.75),-0.15,0))</f>
        <v>0</v>
      </c>
      <c r="AC36" s="55" t="n">
        <f aca="false">IF(ISBLANK(B36),"",IFERROR(AA36+AB36,""))</f>
        <v>0</v>
      </c>
      <c r="AD36" s="0" t="str">
        <f aca="false">IF(ISBLANK(B36),"",IF(AND(ISNUMBER(P36),ISNUMBER(AC36)),P36+AC36,""))</f>
        <v/>
      </c>
      <c r="AE36" s="0" t="str">
        <f aca="false">IF(ISBLANK(B36),"",IFERROR(IF(ISNUMBER(AD36),IF(AD36&lt;=1.5,1,IF(AD36&lt;=2.5,2,IF(AD36&lt;=3.5,3,IF(AD36&lt;=4.5,4,5)))),""),""))</f>
        <v/>
      </c>
    </row>
    <row r="37" customFormat="false" ht="14.25" hidden="false" customHeight="true" outlineLevel="0" collapsed="false">
      <c r="A37" s="59" t="n">
        <v>48</v>
      </c>
      <c r="B37" s="60" t="s">
        <v>127</v>
      </c>
      <c r="P37" s="0" t="str">
        <f aca="false">IFERROR((IF(ISNUMBER(C37),C37*3,0)+IF(ISNUMBER(D37),D37*3,0)+IF(ISNUMBER(E37),E37*3,0)+IF(ISNUMBER(F37),F37*3,0)+IF(ISNUMBER(G37),G37*3,0)+IF(ISNUMBER(H37),H37*3,0)+IF(ISNUMBER(I37),I37*2,0)+IF(ISNUMBER(J37),J37*2,0)+IF(ISNUMBER(K37),K37*2,0)+IF(ISNUMBER(L37),L37*2,0)+IF(ISNUMBER(M37),M37*2,0)+IF(ISNUMBER(N37),N37*2,0)+IF(ISNUMBER(O37),O37*1,0))/(IF(ISNUMBER(C37),3,0)+IF(ISNUMBER(D37),3,0)+IF(ISNUMBER(E37),3,0)+IF(ISNUMBER(F37),3,0)+IF(ISNUMBER(G37),3,0)+IF(ISNUMBER(H37),3,0)+IF(ISNUMBER(I37),2,0)+IF(ISNUMBER(J37),2,0)+IF(ISNUMBER(K37),2,0)+IF(ISNUMBER(L37),2,0)+IF(ISNUMBER(M37),2,0)+IF(ISNUMBER(N37),2,0)+IF(ISNUMBER(O37),1,0)),"")</f>
        <v/>
      </c>
      <c r="Y37" s="55" t="n">
        <f aca="false">IF(ISBLANK(B37),"",COUNTIF(Q37:X37,"&gt;0"))</f>
        <v>0</v>
      </c>
      <c r="Z37" s="56" t="n">
        <f aca="false">IF(ISBLANK(B37),"",IF(Y37=0,0,Y37/$AH$2))</f>
        <v>0</v>
      </c>
      <c r="AA37" s="55" t="n">
        <f aca="false">IF(ISBLANK(B37),"",IF(Y37&lt;3,0,IF((IF(Q37&gt;=60,1,0)+IF(R37&gt;=60,1,0)+IF(S37&gt;=60,1,0)+IF(T37&gt;=60,1,0)+IF(U37&gt;=60,1,0)+IF(V37&gt;=60,1,0)+IF(W37&gt;=60,1,0)+IF(X37&gt;=60,1,0))&gt;0,(IF(Q37&gt;=60,IF(Q37&gt;=90,-0.25,IF(Q37&gt;=75,-0.15,-0.1)),0)+IF(R37&gt;=60,IF(R37&gt;=90,-0.25,IF(R37&gt;=75,-0.15,-0.1)),0)+IF(S37&gt;=60,IF(S37&gt;=90,-0.25,IF(S37&gt;=75,-0.15,-0.1)),0)+IF(T37&gt;=60,IF(T37&gt;=90,-0.25,IF(T37&gt;=75,-0.15,-0.1)),0)+IF(U37&gt;=60,IF(U37&gt;=90,-0.25,IF(U37&gt;=75,-0.15,-0.1)),0)+IF(V37&gt;=60,IF(V37&gt;=90,-0.25,IF(V37&gt;=75,-0.15,-0.1)),0)+IF(W37&gt;=60,IF(W37&gt;=90,-0.25,IF(W37&gt;=75,-0.15,-0.1)),0)+IF(X37&gt;=60,IF(X37&gt;=90,-0.25,IF(X37&gt;=75,-0.15,-0.1)),0))/(IF(Q37&gt;=60,1,0)+IF(R37&gt;=60,1,0)+IF(S37&gt;=60,1,0)+IF(T37&gt;=60,1,0)+IF(U37&gt;=60,1,0)+IF(V37&gt;=60,1,0)+IF(W37&gt;=60,1,0)+IF(X37&gt;=60,1,0)),0)))</f>
        <v>0</v>
      </c>
      <c r="AB37" s="55" t="n">
        <f aca="false">IF(ISBLANK(B37),"",IF(AND(Y37&gt;=3,Z37&gt;=0.75),-0.15,0))</f>
        <v>0</v>
      </c>
      <c r="AC37" s="55" t="n">
        <f aca="false">IF(ISBLANK(B37),"",IFERROR(AA37+AB37,""))</f>
        <v>0</v>
      </c>
      <c r="AD37" s="0" t="str">
        <f aca="false">IF(ISBLANK(B37),"",IF(AND(ISNUMBER(P37),ISNUMBER(AC37)),P37+AC37,""))</f>
        <v/>
      </c>
      <c r="AE37" s="0" t="str">
        <f aca="false">IF(ISBLANK(B37),"",IFERROR(IF(ISNUMBER(AD37),IF(AD37&lt;=1.5,1,IF(AD37&lt;=2.5,2,IF(AD37&lt;=3.5,3,IF(AD37&lt;=4.5,4,5)))),""),""))</f>
        <v/>
      </c>
    </row>
    <row r="38" customFormat="false" ht="14.25" hidden="false" customHeight="true" outlineLevel="0" collapsed="false">
      <c r="B38" s="60" t="s">
        <v>128</v>
      </c>
      <c r="P38" s="0" t="str">
        <f aca="false">IFERROR((IF(ISNUMBER(C38),C38*3,0)+IF(ISNUMBER(D38),D38*3,0)+IF(ISNUMBER(E38),E38*3,0)+IF(ISNUMBER(F38),F38*3,0)+IF(ISNUMBER(G38),G38*3,0)+IF(ISNUMBER(H38),H38*3,0)+IF(ISNUMBER(I38),I38*2,0)+IF(ISNUMBER(J38),J38*2,0)+IF(ISNUMBER(K38),K38*2,0)+IF(ISNUMBER(L38),L38*2,0)+IF(ISNUMBER(M38),M38*2,0)+IF(ISNUMBER(N38),N38*2,0)+IF(ISNUMBER(O38),O38*1,0))/(IF(ISNUMBER(C38),3,0)+IF(ISNUMBER(D38),3,0)+IF(ISNUMBER(E38),3,0)+IF(ISNUMBER(F38),3,0)+IF(ISNUMBER(G38),3,0)+IF(ISNUMBER(H38),3,0)+IF(ISNUMBER(I38),2,0)+IF(ISNUMBER(J38),2,0)+IF(ISNUMBER(K38),2,0)+IF(ISNUMBER(L38),2,0)+IF(ISNUMBER(M38),2,0)+IF(ISNUMBER(N38),2,0)+IF(ISNUMBER(O38),1,0)),"")</f>
        <v/>
      </c>
      <c r="Y38" s="55" t="n">
        <f aca="false">IF(ISBLANK(B38),"",COUNTIF(Q38:X38,"&gt;0"))</f>
        <v>0</v>
      </c>
      <c r="Z38" s="56" t="n">
        <f aca="false">IF(ISBLANK(B38),"",IF(Y38=0,0,Y38/$AH$2))</f>
        <v>0</v>
      </c>
      <c r="AA38" s="55" t="n">
        <f aca="false">IF(ISBLANK(B38),"",IF(Y38&lt;3,0,IF((IF(Q38&gt;=60,1,0)+IF(R38&gt;=60,1,0)+IF(S38&gt;=60,1,0)+IF(T38&gt;=60,1,0)+IF(U38&gt;=60,1,0)+IF(V38&gt;=60,1,0)+IF(W38&gt;=60,1,0)+IF(X38&gt;=60,1,0))&gt;0,(IF(Q38&gt;=60,IF(Q38&gt;=90,-0.25,IF(Q38&gt;=75,-0.15,-0.1)),0)+IF(R38&gt;=60,IF(R38&gt;=90,-0.25,IF(R38&gt;=75,-0.15,-0.1)),0)+IF(S38&gt;=60,IF(S38&gt;=90,-0.25,IF(S38&gt;=75,-0.15,-0.1)),0)+IF(T38&gt;=60,IF(T38&gt;=90,-0.25,IF(T38&gt;=75,-0.15,-0.1)),0)+IF(U38&gt;=60,IF(U38&gt;=90,-0.25,IF(U38&gt;=75,-0.15,-0.1)),0)+IF(V38&gt;=60,IF(V38&gt;=90,-0.25,IF(V38&gt;=75,-0.15,-0.1)),0)+IF(W38&gt;=60,IF(W38&gt;=90,-0.25,IF(W38&gt;=75,-0.15,-0.1)),0)+IF(X38&gt;=60,IF(X38&gt;=90,-0.25,IF(X38&gt;=75,-0.15,-0.1)),0))/(IF(Q38&gt;=60,1,0)+IF(R38&gt;=60,1,0)+IF(S38&gt;=60,1,0)+IF(T38&gt;=60,1,0)+IF(U38&gt;=60,1,0)+IF(V38&gt;=60,1,0)+IF(W38&gt;=60,1,0)+IF(X38&gt;=60,1,0)),0)))</f>
        <v>0</v>
      </c>
      <c r="AB38" s="55" t="n">
        <f aca="false">IF(ISBLANK(B38),"",IF(AND(Y38&gt;=3,Z38&gt;=0.75),-0.15,0))</f>
        <v>0</v>
      </c>
      <c r="AC38" s="55" t="n">
        <f aca="false">IF(ISBLANK(B38),"",IFERROR(AA38+AB38,""))</f>
        <v>0</v>
      </c>
      <c r="AD38" s="0" t="str">
        <f aca="false">IF(ISBLANK(B38),"",IF(AND(ISNUMBER(P38),ISNUMBER(AC38)),P38+AC38,""))</f>
        <v/>
      </c>
      <c r="AE38" s="0" t="str">
        <f aca="false">IF(ISBLANK(B38),"",IFERROR(IF(ISNUMBER(AD38),IF(AD38&lt;=1.5,1,IF(AD38&lt;=2.5,2,IF(AD38&lt;=3.5,3,IF(AD38&lt;=4.5,4,5)))),""),""))</f>
        <v/>
      </c>
    </row>
    <row r="39" customFormat="false" ht="14.25" hidden="false" customHeight="true" outlineLevel="0" collapsed="false">
      <c r="B39" s="60" t="s">
        <v>129</v>
      </c>
      <c r="P39" s="0" t="str">
        <f aca="false">IFERROR((IF(ISNUMBER(C39),C39*3,0)+IF(ISNUMBER(D39),D39*3,0)+IF(ISNUMBER(E39),E39*3,0)+IF(ISNUMBER(F39),F39*3,0)+IF(ISNUMBER(G39),G39*3,0)+IF(ISNUMBER(H39),H39*3,0)+IF(ISNUMBER(I39),I39*2,0)+IF(ISNUMBER(J39),J39*2,0)+IF(ISNUMBER(K39),K39*2,0)+IF(ISNUMBER(L39),L39*2,0)+IF(ISNUMBER(M39),M39*2,0)+IF(ISNUMBER(N39),N39*2,0)+IF(ISNUMBER(O39),O39*1,0))/(IF(ISNUMBER(C39),3,0)+IF(ISNUMBER(D39),3,0)+IF(ISNUMBER(E39),3,0)+IF(ISNUMBER(F39),3,0)+IF(ISNUMBER(G39),3,0)+IF(ISNUMBER(H39),3,0)+IF(ISNUMBER(I39),2,0)+IF(ISNUMBER(J39),2,0)+IF(ISNUMBER(K39),2,0)+IF(ISNUMBER(L39),2,0)+IF(ISNUMBER(M39),2,0)+IF(ISNUMBER(N39),2,0)+IF(ISNUMBER(O39),1,0)),"")</f>
        <v/>
      </c>
      <c r="Y39" s="55" t="n">
        <f aca="false">IF(ISBLANK(B39),"",COUNTIF(Q39:X39,"&gt;0"))</f>
        <v>0</v>
      </c>
      <c r="Z39" s="56" t="n">
        <f aca="false">IF(ISBLANK(B39),"",IF(Y39=0,0,Y39/$AH$2))</f>
        <v>0</v>
      </c>
      <c r="AA39" s="55" t="n">
        <f aca="false">IF(ISBLANK(B39),"",IF(Y39&lt;3,0,IF((IF(Q39&gt;=60,1,0)+IF(R39&gt;=60,1,0)+IF(S39&gt;=60,1,0)+IF(T39&gt;=60,1,0)+IF(U39&gt;=60,1,0)+IF(V39&gt;=60,1,0)+IF(W39&gt;=60,1,0)+IF(X39&gt;=60,1,0))&gt;0,(IF(Q39&gt;=60,IF(Q39&gt;=90,-0.25,IF(Q39&gt;=75,-0.15,-0.1)),0)+IF(R39&gt;=60,IF(R39&gt;=90,-0.25,IF(R39&gt;=75,-0.15,-0.1)),0)+IF(S39&gt;=60,IF(S39&gt;=90,-0.25,IF(S39&gt;=75,-0.15,-0.1)),0)+IF(T39&gt;=60,IF(T39&gt;=90,-0.25,IF(T39&gt;=75,-0.15,-0.1)),0)+IF(U39&gt;=60,IF(U39&gt;=90,-0.25,IF(U39&gt;=75,-0.15,-0.1)),0)+IF(V39&gt;=60,IF(V39&gt;=90,-0.25,IF(V39&gt;=75,-0.15,-0.1)),0)+IF(W39&gt;=60,IF(W39&gt;=90,-0.25,IF(W39&gt;=75,-0.15,-0.1)),0)+IF(X39&gt;=60,IF(X39&gt;=90,-0.25,IF(X39&gt;=75,-0.15,-0.1)),0))/(IF(Q39&gt;=60,1,0)+IF(R39&gt;=60,1,0)+IF(S39&gt;=60,1,0)+IF(T39&gt;=60,1,0)+IF(U39&gt;=60,1,0)+IF(V39&gt;=60,1,0)+IF(W39&gt;=60,1,0)+IF(X39&gt;=60,1,0)),0)))</f>
        <v>0</v>
      </c>
      <c r="AB39" s="55" t="n">
        <f aca="false">IF(ISBLANK(B39),"",IF(AND(Y39&gt;=3,Z39&gt;=0.75),-0.15,0))</f>
        <v>0</v>
      </c>
      <c r="AC39" s="55" t="n">
        <f aca="false">IF(ISBLANK(B39),"",IFERROR(AA39+AB39,""))</f>
        <v>0</v>
      </c>
      <c r="AD39" s="0" t="str">
        <f aca="false">IF(ISBLANK(B39),"",IF(AND(ISNUMBER(P39),ISNUMBER(AC39)),P39+AC39,""))</f>
        <v/>
      </c>
      <c r="AE39" s="0" t="str">
        <f aca="false">IF(ISBLANK(B39),"",IFERROR(IF(ISNUMBER(AD39),IF(AD39&lt;=1.5,1,IF(AD39&lt;=2.5,2,IF(AD39&lt;=3.5,3,IF(AD39&lt;=4.5,4,5)))),""),""))</f>
        <v/>
      </c>
    </row>
    <row r="40" customFormat="false" ht="14.25" hidden="false" customHeight="true" outlineLevel="0" collapsed="false">
      <c r="B40" s="60" t="s">
        <v>130</v>
      </c>
      <c r="P40" s="0" t="str">
        <f aca="false">IFERROR((IF(ISNUMBER(C40),C40*3,0)+IF(ISNUMBER(D40),D40*3,0)+IF(ISNUMBER(E40),E40*3,0)+IF(ISNUMBER(F40),F40*3,0)+IF(ISNUMBER(G40),G40*3,0)+IF(ISNUMBER(H40),H40*3,0)+IF(ISNUMBER(I40),I40*2,0)+IF(ISNUMBER(J40),J40*2,0)+IF(ISNUMBER(K40),K40*2,0)+IF(ISNUMBER(L40),L40*2,0)+IF(ISNUMBER(M40),M40*2,0)+IF(ISNUMBER(N40),N40*2,0)+IF(ISNUMBER(O40),O40*1,0))/(IF(ISNUMBER(C40),3,0)+IF(ISNUMBER(D40),3,0)+IF(ISNUMBER(E40),3,0)+IF(ISNUMBER(F40),3,0)+IF(ISNUMBER(G40),3,0)+IF(ISNUMBER(H40),3,0)+IF(ISNUMBER(I40),2,0)+IF(ISNUMBER(J40),2,0)+IF(ISNUMBER(K40),2,0)+IF(ISNUMBER(L40),2,0)+IF(ISNUMBER(M40),2,0)+IF(ISNUMBER(N40),2,0)+IF(ISNUMBER(O40),1,0)),"")</f>
        <v/>
      </c>
      <c r="Y40" s="55" t="n">
        <f aca="false">IF(ISBLANK(B40),"",COUNTIF(Q40:X40,"&gt;0"))</f>
        <v>0</v>
      </c>
      <c r="Z40" s="56" t="n">
        <f aca="false">IF(ISBLANK(B40),"",IF(Y40=0,0,Y40/$AH$2))</f>
        <v>0</v>
      </c>
      <c r="AA40" s="55" t="n">
        <f aca="false">IF(ISBLANK(B40),"",IF(Y40&lt;3,0,IF((IF(Q40&gt;=60,1,0)+IF(R40&gt;=60,1,0)+IF(S40&gt;=60,1,0)+IF(T40&gt;=60,1,0)+IF(U40&gt;=60,1,0)+IF(V40&gt;=60,1,0)+IF(W40&gt;=60,1,0)+IF(X40&gt;=60,1,0))&gt;0,(IF(Q40&gt;=60,IF(Q40&gt;=90,-0.25,IF(Q40&gt;=75,-0.15,-0.1)),0)+IF(R40&gt;=60,IF(R40&gt;=90,-0.25,IF(R40&gt;=75,-0.15,-0.1)),0)+IF(S40&gt;=60,IF(S40&gt;=90,-0.25,IF(S40&gt;=75,-0.15,-0.1)),0)+IF(T40&gt;=60,IF(T40&gt;=90,-0.25,IF(T40&gt;=75,-0.15,-0.1)),0)+IF(U40&gt;=60,IF(U40&gt;=90,-0.25,IF(U40&gt;=75,-0.15,-0.1)),0)+IF(V40&gt;=60,IF(V40&gt;=90,-0.25,IF(V40&gt;=75,-0.15,-0.1)),0)+IF(W40&gt;=60,IF(W40&gt;=90,-0.25,IF(W40&gt;=75,-0.15,-0.1)),0)+IF(X40&gt;=60,IF(X40&gt;=90,-0.25,IF(X40&gt;=75,-0.15,-0.1)),0))/(IF(Q40&gt;=60,1,0)+IF(R40&gt;=60,1,0)+IF(S40&gt;=60,1,0)+IF(T40&gt;=60,1,0)+IF(U40&gt;=60,1,0)+IF(V40&gt;=60,1,0)+IF(W40&gt;=60,1,0)+IF(X40&gt;=60,1,0)),0)))</f>
        <v>0</v>
      </c>
      <c r="AB40" s="55" t="n">
        <f aca="false">IF(ISBLANK(B40),"",IF(AND(Y40&gt;=3,Z40&gt;=0.75),-0.15,0))</f>
        <v>0</v>
      </c>
      <c r="AC40" s="55" t="n">
        <f aca="false">IF(ISBLANK(B40),"",IFERROR(AA40+AB40,""))</f>
        <v>0</v>
      </c>
      <c r="AD40" s="0" t="str">
        <f aca="false">IF(ISBLANK(B40),"",IF(AND(ISNUMBER(P40),ISNUMBER(AC40)),P40+AC40,""))</f>
        <v/>
      </c>
      <c r="AE40" s="0" t="str">
        <f aca="false">IF(ISBLANK(B40),"",IFERROR(IF(ISNUMBER(AD40),IF(AD40&lt;=1.5,1,IF(AD40&lt;=2.5,2,IF(AD40&lt;=3.5,3,IF(AD40&lt;=4.5,4,5)))),""),""))</f>
        <v/>
      </c>
    </row>
    <row r="41" customFormat="false" ht="14.25" hidden="false" customHeight="true" outlineLevel="0" collapsed="false">
      <c r="B41" s="0" t="s">
        <v>131</v>
      </c>
      <c r="P41" s="0" t="str">
        <f aca="false">IFERROR((IF(ISNUMBER(C41),C41*3,0)+IF(ISNUMBER(D41),D41*3,0)+IF(ISNUMBER(E41),E41*3,0)+IF(ISNUMBER(F41),F41*3,0)+IF(ISNUMBER(G41),G41*3,0)+IF(ISNUMBER(H41),H41*3,0)+IF(ISNUMBER(I41),I41*2,0)+IF(ISNUMBER(J41),J41*2,0)+IF(ISNUMBER(K41),K41*2,0)+IF(ISNUMBER(L41),L41*2,0)+IF(ISNUMBER(M41),M41*2,0)+IF(ISNUMBER(N41),N41*2,0)+IF(ISNUMBER(O41),O41*1,0))/(IF(ISNUMBER(C41),3,0)+IF(ISNUMBER(D41),3,0)+IF(ISNUMBER(E41),3,0)+IF(ISNUMBER(F41),3,0)+IF(ISNUMBER(G41),3,0)+IF(ISNUMBER(H41),3,0)+IF(ISNUMBER(I41),2,0)+IF(ISNUMBER(J41),2,0)+IF(ISNUMBER(K41),2,0)+IF(ISNUMBER(L41),2,0)+IF(ISNUMBER(M41),2,0)+IF(ISNUMBER(N41),2,0)+IF(ISNUMBER(O41),1,0)),"")</f>
        <v/>
      </c>
      <c r="Y41" s="55" t="n">
        <f aca="false">IF(ISBLANK(B41),"",COUNTIF(Q41:X41,"&gt;0"))</f>
        <v>0</v>
      </c>
      <c r="Z41" s="56" t="n">
        <f aca="false">IF(ISBLANK(B41),"",IF(Y41=0,0,Y41/$AH$2))</f>
        <v>0</v>
      </c>
      <c r="AA41" s="55" t="n">
        <f aca="false">IF(ISBLANK(B41),"",IF(Y41&lt;3,0,IF((IF(Q41&gt;=60,1,0)+IF(R41&gt;=60,1,0)+IF(S41&gt;=60,1,0)+IF(T41&gt;=60,1,0)+IF(U41&gt;=60,1,0)+IF(V41&gt;=60,1,0)+IF(W41&gt;=60,1,0)+IF(X41&gt;=60,1,0))&gt;0,(IF(Q41&gt;=60,IF(Q41&gt;=90,-0.25,IF(Q41&gt;=75,-0.15,-0.1)),0)+IF(R41&gt;=60,IF(R41&gt;=90,-0.25,IF(R41&gt;=75,-0.15,-0.1)),0)+IF(S41&gt;=60,IF(S41&gt;=90,-0.25,IF(S41&gt;=75,-0.15,-0.1)),0)+IF(T41&gt;=60,IF(T41&gt;=90,-0.25,IF(T41&gt;=75,-0.15,-0.1)),0)+IF(U41&gt;=60,IF(U41&gt;=90,-0.25,IF(U41&gt;=75,-0.15,-0.1)),0)+IF(V41&gt;=60,IF(V41&gt;=90,-0.25,IF(V41&gt;=75,-0.15,-0.1)),0)+IF(W41&gt;=60,IF(W41&gt;=90,-0.25,IF(W41&gt;=75,-0.15,-0.1)),0)+IF(X41&gt;=60,IF(X41&gt;=90,-0.25,IF(X41&gt;=75,-0.15,-0.1)),0))/(IF(Q41&gt;=60,1,0)+IF(R41&gt;=60,1,0)+IF(S41&gt;=60,1,0)+IF(T41&gt;=60,1,0)+IF(U41&gt;=60,1,0)+IF(V41&gt;=60,1,0)+IF(W41&gt;=60,1,0)+IF(X41&gt;=60,1,0)),0)))</f>
        <v>0</v>
      </c>
      <c r="AB41" s="55" t="n">
        <f aca="false">IF(ISBLANK(B41),"",IF(AND(Y41&gt;=3,Z41&gt;=0.75),-0.15,0))</f>
        <v>0</v>
      </c>
      <c r="AC41" s="55" t="n">
        <f aca="false">IF(ISBLANK(B41),"",IFERROR(AA41+AB41,""))</f>
        <v>0</v>
      </c>
      <c r="AD41" s="0" t="str">
        <f aca="false">IF(ISBLANK(B41),"",IF(AND(ISNUMBER(P41),ISNUMBER(AC41)),P41+AC41,""))</f>
        <v/>
      </c>
      <c r="AE41" s="0" t="str">
        <f aca="false">IF(ISBLANK(B41),"",IFERROR(IF(ISNUMBER(AD41),IF(AD41&lt;=1.5,1,IF(AD41&lt;=2.5,2,IF(AD41&lt;=3.5,3,IF(AD41&lt;=4.5,4,5)))),""),""))</f>
        <v/>
      </c>
    </row>
    <row r="42" customFormat="false" ht="14.25" hidden="false" customHeight="true" outlineLevel="0" collapsed="false">
      <c r="B42" s="61" t="s">
        <v>132</v>
      </c>
      <c r="P42" s="0" t="str">
        <f aca="false">IFERROR((IF(ISNUMBER(C42),C42*3,0)+IF(ISNUMBER(D42),D42*3,0)+IF(ISNUMBER(E42),E42*3,0)+IF(ISNUMBER(F42),F42*3,0)+IF(ISNUMBER(G42),G42*3,0)+IF(ISNUMBER(H42),H42*3,0)+IF(ISNUMBER(I42),I42*2,0)+IF(ISNUMBER(J42),J42*2,0)+IF(ISNUMBER(K42),K42*2,0)+IF(ISNUMBER(L42),L42*2,0)+IF(ISNUMBER(M42),M42*2,0)+IF(ISNUMBER(N42),N42*2,0)+IF(ISNUMBER(O42),O42*1,0))/(IF(ISNUMBER(C42),3,0)+IF(ISNUMBER(D42),3,0)+IF(ISNUMBER(E42),3,0)+IF(ISNUMBER(F42),3,0)+IF(ISNUMBER(G42),3,0)+IF(ISNUMBER(H42),3,0)+IF(ISNUMBER(I42),2,0)+IF(ISNUMBER(J42),2,0)+IF(ISNUMBER(K42),2,0)+IF(ISNUMBER(L42),2,0)+IF(ISNUMBER(M42),2,0)+IF(ISNUMBER(N42),2,0)+IF(ISNUMBER(O42),1,0)),"")</f>
        <v/>
      </c>
      <c r="Y42" s="55" t="n">
        <f aca="false">IF(ISBLANK(B42),"",COUNTIF(Q42:X42,"&gt;0"))</f>
        <v>0</v>
      </c>
      <c r="Z42" s="56" t="n">
        <f aca="false">IF(ISBLANK(B42),"",IF(Y42=0,0,Y42/$AH$2))</f>
        <v>0</v>
      </c>
      <c r="AA42" s="55" t="n">
        <f aca="false">IF(ISBLANK(B42),"",IF(Y42&lt;3,0,IF((IF(Q42&gt;=60,1,0)+IF(R42&gt;=60,1,0)+IF(S42&gt;=60,1,0)+IF(T42&gt;=60,1,0)+IF(U42&gt;=60,1,0)+IF(V42&gt;=60,1,0)+IF(W42&gt;=60,1,0)+IF(X42&gt;=60,1,0))&gt;0,(IF(Q42&gt;=60,IF(Q42&gt;=90,-0.25,IF(Q42&gt;=75,-0.15,-0.1)),0)+IF(R42&gt;=60,IF(R42&gt;=90,-0.25,IF(R42&gt;=75,-0.15,-0.1)),0)+IF(S42&gt;=60,IF(S42&gt;=90,-0.25,IF(S42&gt;=75,-0.15,-0.1)),0)+IF(T42&gt;=60,IF(T42&gt;=90,-0.25,IF(T42&gt;=75,-0.15,-0.1)),0)+IF(U42&gt;=60,IF(U42&gt;=90,-0.25,IF(U42&gt;=75,-0.15,-0.1)),0)+IF(V42&gt;=60,IF(V42&gt;=90,-0.25,IF(V42&gt;=75,-0.15,-0.1)),0)+IF(W42&gt;=60,IF(W42&gt;=90,-0.25,IF(W42&gt;=75,-0.15,-0.1)),0)+IF(X42&gt;=60,IF(X42&gt;=90,-0.25,IF(X42&gt;=75,-0.15,-0.1)),0))/(IF(Q42&gt;=60,1,0)+IF(R42&gt;=60,1,0)+IF(S42&gt;=60,1,0)+IF(T42&gt;=60,1,0)+IF(U42&gt;=60,1,0)+IF(V42&gt;=60,1,0)+IF(W42&gt;=60,1,0)+IF(X42&gt;=60,1,0)),0)))</f>
        <v>0</v>
      </c>
      <c r="AB42" s="55" t="n">
        <f aca="false">IF(ISBLANK(B42),"",IF(AND(Y42&gt;=3,Z42&gt;=0.75),-0.15,0))</f>
        <v>0</v>
      </c>
      <c r="AC42" s="55" t="n">
        <f aca="false">IF(ISBLANK(B42),"",IFERROR(AA42+AB42,""))</f>
        <v>0</v>
      </c>
      <c r="AD42" s="0" t="str">
        <f aca="false">IF(ISBLANK(B42),"",IF(AND(ISNUMBER(P42),ISNUMBER(AC42)),P42+AC42,""))</f>
        <v/>
      </c>
      <c r="AE42" s="0" t="str">
        <f aca="false">IF(ISBLANK(B42),"",IFERROR(IF(ISNUMBER(AD42),IF(AD42&lt;=1.5,1,IF(AD42&lt;=2.5,2,IF(AD42&lt;=3.5,3,IF(AD42&lt;=4.5,4,5)))),""),""))</f>
        <v/>
      </c>
    </row>
    <row r="43" customFormat="false" ht="14.25" hidden="false" customHeight="true" outlineLevel="0" collapsed="false">
      <c r="B43" s="62" t="s">
        <v>133</v>
      </c>
    </row>
    <row r="44" customFormat="false" ht="14.25" hidden="false" customHeight="true" outlineLevel="0" collapsed="false">
      <c r="B44" s="60" t="s">
        <v>134</v>
      </c>
    </row>
    <row r="45" customFormat="false" ht="14.25" hidden="false" customHeight="true" outlineLevel="0" collapsed="false">
      <c r="B45" s="0" t="s">
        <v>135</v>
      </c>
    </row>
    <row r="46" customFormat="false" ht="14.25" hidden="false" customHeight="true" outlineLevel="0" collapsed="false"/>
    <row r="47" customFormat="false" ht="14.25" hidden="false" customHeight="true" outlineLevel="0" collapsed="false">
      <c r="B47" s="0" t="s">
        <v>136</v>
      </c>
    </row>
    <row r="48" customFormat="false" ht="14.25" hidden="false" customHeight="true" outlineLevel="0" collapsed="false">
      <c r="B48" s="0" t="s">
        <v>137</v>
      </c>
    </row>
    <row r="49" customFormat="false" ht="14.25" hidden="false" customHeight="false" outlineLevel="0" collapsed="false">
      <c r="B49" s="0" t="s">
        <v>138</v>
      </c>
    </row>
    <row r="50" customFormat="false" ht="14.25" hidden="false" customHeight="false" outlineLevel="0" collapsed="false">
      <c r="B50" s="0" t="s">
        <v>139</v>
      </c>
    </row>
  </sheetData>
  <conditionalFormatting sqref="C2:N29">
    <cfRule type="containsText" priority="2" operator="containsText" aboveAverage="0" equalAverage="0" bottom="0" percent="0" rank="0" text="5" dxfId="0">
      <formula>NOT(ISERROR(SEARCH("5",C2)))</formula>
    </cfRule>
    <cfRule type="containsText" priority="3" operator="containsText" aboveAverage="0" equalAverage="0" bottom="0" percent="0" rank="0" text="N" dxfId="1">
      <formula>NOT(ISERROR(SEARCH("N",C2)))</formula>
    </cfRule>
  </conditionalFormatting>
  <hyperlinks>
    <hyperlink ref="AF18" r:id="rId2" display="marie-anna_povolna@student.gymberoun.cz"/>
    <hyperlink ref="AF23" r:id="rId3" display="vaclav-leonard_sopik@student.gymberoun.cz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2026-01-11T11:49:59Z</dcterms:created>
  <dc:creator>openpyxl</dc:creator>
  <dc:description/>
  <dc:language>en-US</dc:language>
  <cp:lastModifiedBy>Ivan Hynek</cp:lastModifiedBy>
  <dcterms:modified xsi:type="dcterms:W3CDTF">2026-06-08T13:49:27Z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